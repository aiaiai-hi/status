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1"/>
  <bookViews>
    <workbookView xWindow="360" yWindow="15" windowWidth="20955" windowHeight="9720" activeTab="2"/>
  </bookViews>
  <sheets>
    <sheet name="Легенда" sheetId="1" state="visible" r:id="rId2"/>
    <sheet name="Изменения" sheetId="2" state="visible" r:id="rId3"/>
    <sheet name="Основное" sheetId="3" state="visible" r:id="rId4"/>
    <sheet name="СВОД" sheetId="4" state="visible" r:id="rId5"/>
    <sheet name="Связанные показатели" sheetId="5" state="visible" r:id="rId6"/>
    <sheet name="Матрица потенциальных операций" sheetId="6" state="hidden" r:id="rId7"/>
    <sheet name="БМО" sheetId="7" state="visible" r:id="rId8"/>
  </sheets>
  <definedNames>
    <definedName name="_xlnm._FilterDatabase" localSheetId="2" hidden="1">Основное!$B$9:$P$923</definedName>
    <definedName name="_xlnm._FilterDatabase" localSheetId="2" hidden="1">Основное!$B$9:$P$923</definedName>
  </definedNames>
  <calcPr/>
  <pivotCaches>
    <pivotCache cacheId="0" r:id="rId1"/>
  </pivotCaches>
</workbook>
</file>

<file path=xl/sharedStrings.xml><?xml version="1.0" encoding="utf-8"?>
<sst xmlns="http://schemas.openxmlformats.org/spreadsheetml/2006/main" count="237" uniqueCount="237">
  <si>
    <t xml:space="preserve">Обозначение цвета ячеек и шрифтов</t>
  </si>
  <si>
    <t>значение</t>
  </si>
  <si>
    <t xml:space="preserve">- в поле вставлена формула/ссылка на ячейку в книге с аналогичной информацией с целью группового редактирования (названия показателей/отклонения и т.д.)</t>
  </si>
  <si>
    <t>текст</t>
  </si>
  <si>
    <t xml:space="preserve">- информация, на которую нужно обратить пристальное внимание или требующая уточнений в ходе обсуждения бизнес-требований на следующих стадиях разработки</t>
  </si>
  <si>
    <t xml:space="preserve">текст </t>
  </si>
  <si>
    <t xml:space="preserve">- наименование используемых таблиц и атрибутов при расчете показателей и для вывода в поля Детали</t>
  </si>
  <si>
    <t>ГДЕ</t>
  </si>
  <si>
    <t xml:space="preserve">AS IS</t>
  </si>
  <si>
    <t xml:space="preserve">TO BE</t>
  </si>
  <si>
    <t xml:space="preserve">Пример регулярной выгрузки </t>
  </si>
  <si>
    <t xml:space="preserve">Общие требования и ограничения</t>
  </si>
  <si>
    <t xml:space="preserve">1. В расчет/выгрузку должны попадать отклонения с признаком актуальности отклонения в системном справочнике = true</t>
  </si>
  <si>
    <r>
      <rPr>
        <strike/>
        <sz val="11"/>
        <color theme="1"/>
        <rFont val="Calibri"/>
        <scheme val="minor"/>
      </rPr>
      <t xml:space="preserve">2. В выгрузке должны выводиться данные в том числе за 3 предыдущие недели (то есть всего 4 недели, чтобы попадала цифра по месячным метрикам 11 и 12).
 </t>
    </r>
    <r>
      <rPr>
        <strike/>
        <sz val="11"/>
        <color indexed="2"/>
        <rFont val="Calibri"/>
        <scheme val="minor"/>
      </rPr>
      <t xml:space="preserve">Возможен ли пересчет метрик после изменения алгоритмов хотя бы 3 недели, попадающие в выгрузку</t>
    </r>
  </si>
  <si>
    <t xml:space="preserve">3. Архивное хранение результатов должно быть не менее, чем за 30 недель</t>
  </si>
  <si>
    <t xml:space="preserve">4. Ряд универсальных метрик должны рассчитываться по основной методологии автоматизированно так, чтобы все изменения внедрялись по всем отклонениям</t>
  </si>
  <si>
    <t xml:space="preserve">5. Остальные метрики должны содержать часть общей методологии и также изменяться одновременно во всех отклонениях.
 А уникальная часть остаться частью уникального отклонения.. Например, метрика 3 и 6 в целом общая методология, за исключением специфики, отраженной на листе Справочник.</t>
  </si>
  <si>
    <t>date_end</t>
  </si>
  <si>
    <t>value_s</t>
  </si>
  <si>
    <t>metric_id</t>
  </si>
  <si>
    <t>metric_name</t>
  </si>
  <si>
    <t>СЛАЙД</t>
  </si>
  <si>
    <t>ЕИ</t>
  </si>
  <si>
    <t>Период</t>
  </si>
  <si>
    <t>level</t>
  </si>
  <si>
    <t>level_name</t>
  </si>
  <si>
    <t>deviation_name</t>
  </si>
  <si>
    <t>comment_theme</t>
  </si>
  <si>
    <t>metric_smr_1</t>
  </si>
  <si>
    <t xml:space="preserve">Количество активных видов отклонений за период</t>
  </si>
  <si>
    <t>шт.</t>
  </si>
  <si>
    <t>нед.</t>
  </si>
  <si>
    <t>Банк</t>
  </si>
  <si>
    <t>metric_smr_2</t>
  </si>
  <si>
    <t xml:space="preserve">Количество подразделений с отклонениями</t>
  </si>
  <si>
    <t>metric_smr_3</t>
  </si>
  <si>
    <t xml:space="preserve">Количество сотрудников с отклонениями</t>
  </si>
  <si>
    <t>чел.</t>
  </si>
  <si>
    <t>metric_smr_4</t>
  </si>
  <si>
    <t xml:space="preserve">Средний счетчик повторов отклонений</t>
  </si>
  <si>
    <t>повтор.</t>
  </si>
  <si>
    <t>metric_smr_5</t>
  </si>
  <si>
    <t xml:space="preserve">Средняя пораженность отклонениями</t>
  </si>
  <si>
    <t>%</t>
  </si>
  <si>
    <t>metric_smr_10</t>
  </si>
  <si>
    <t xml:space="preserve">Средняя пораженность отклонением</t>
  </si>
  <si>
    <t xml:space="preserve">Низкая доля операций, подписанных с использованием БМО</t>
  </si>
  <si>
    <t>metric_smr_9</t>
  </si>
  <si>
    <t xml:space="preserve">Количество сотрудников с отклонением</t>
  </si>
  <si>
    <t>metric_smr_8</t>
  </si>
  <si>
    <t xml:space="preserve">Количество подразделений с отклонением</t>
  </si>
  <si>
    <t>metric_smr_7</t>
  </si>
  <si>
    <t xml:space="preserve">Средний счетчик повторов отклонения</t>
  </si>
  <si>
    <t>metric_smr_11</t>
  </si>
  <si>
    <t xml:space="preserve">Количество видов отклонений в системе</t>
  </si>
  <si>
    <t>metric_smr_12</t>
  </si>
  <si>
    <t xml:space="preserve">Приостановка отклонения</t>
  </si>
  <si>
    <t xml:space="preserve">КПЭ очереди ВСП</t>
  </si>
  <si>
    <t xml:space="preserve">Высокая доля перенаправлений на новую услугу</t>
  </si>
  <si>
    <t xml:space="preserve">Высокая доля обслуживания нецелевых клиентов</t>
  </si>
  <si>
    <t>metric_smr_13</t>
  </si>
  <si>
    <t xml:space="preserve">Деактивация отклонения</t>
  </si>
  <si>
    <t xml:space="preserve">Вызов талона из списка Сброшенные другими</t>
  </si>
  <si>
    <t xml:space="preserve">Высокая доля зарегистрированных талонов по Спец. Регистрации по подразделению</t>
  </si>
  <si>
    <t xml:space="preserve">Вызов сотрудником талона из Отложенных талонов  другими сотрудниками</t>
  </si>
  <si>
    <t>metric_smr_14</t>
  </si>
  <si>
    <t xml:space="preserve">Внедрение нового отклонения</t>
  </si>
  <si>
    <t xml:space="preserve">Высокая доля жалоб по ВСП</t>
  </si>
  <si>
    <t xml:space="preserve">Высокое время ожидания в кассу</t>
  </si>
  <si>
    <t xml:space="preserve">Нарушение продолжительности перерывов в работе</t>
  </si>
  <si>
    <t xml:space="preserve">Недоработки сотрудника по месяцам</t>
  </si>
  <si>
    <t xml:space="preserve">Нарушение стандарта СТАТУС. Пользователь регулярно не входит в СТАТУС</t>
  </si>
  <si>
    <t xml:space="preserve">Высокая доля нарушений стандарта работы с задачами ИС СТАТУС</t>
  </si>
  <si>
    <t xml:space="preserve">Низкая продуктивность сотрудника за период</t>
  </si>
  <si>
    <t xml:space="preserve">Низкая конверсия ДК</t>
  </si>
  <si>
    <t xml:space="preserve">Низкая конверсия НС</t>
  </si>
  <si>
    <t xml:space="preserve">Низкая конверсия ДБО с авторизацией</t>
  </si>
  <si>
    <t xml:space="preserve">Некорректное перенаправление клиента на новую услугу (не в начало очереди)</t>
  </si>
  <si>
    <t xml:space="preserve">Несвоевременное завершение работы с клиентами (по ИСУО)</t>
  </si>
  <si>
    <t xml:space="preserve">Несвоевременное начало работы с клиентами (по ИСУО)</t>
  </si>
  <si>
    <t xml:space="preserve">Несоблюдение графика отпусков</t>
  </si>
  <si>
    <t xml:space="preserve">Отсутствие планового графика на начало месяца</t>
  </si>
  <si>
    <t xml:space="preserve">Переработки сотрудника по месяцам</t>
  </si>
  <si>
    <t xml:space="preserve">Подозрение фальсификации данных по клиентопотоку - перенаправлен и сброшен</t>
  </si>
  <si>
    <t xml:space="preserve">Работа сотрудника в ПО, непредусмотренном должностными инструкциями</t>
  </si>
  <si>
    <t xml:space="preserve">РВСП не подключается к обслуживанию клиентов в ИСУО</t>
  </si>
  <si>
    <t>metric_smr_15</t>
  </si>
  <si>
    <t xml:space="preserve">Количество объектов измерения, имеющие хоть 1 цифровой след (=был на работе)</t>
  </si>
  <si>
    <t>metric_smr_16</t>
  </si>
  <si>
    <t xml:space="preserve">Количество объектов измерения, которые работали в системах-источниках для расчета метрики отклонения</t>
  </si>
  <si>
    <t>metric_smr_17</t>
  </si>
  <si>
    <t xml:space="preserve">perc_from_prev 2</t>
  </si>
  <si>
    <t>metric_smr_18</t>
  </si>
  <si>
    <t xml:space="preserve">perc_from_top 2</t>
  </si>
  <si>
    <t>metric_smr_19</t>
  </si>
  <si>
    <t xml:space="preserve">из них, Количество объектов измерения, которые фактически работали в ВСП, где должна работать (установлена) ИСУО</t>
  </si>
  <si>
    <t>metric_smr_20</t>
  </si>
  <si>
    <t xml:space="preserve">perc_from_prev 3</t>
  </si>
  <si>
    <t>metric_smr_21</t>
  </si>
  <si>
    <t xml:space="preserve">perc_from_top 3</t>
  </si>
  <si>
    <t>metric_smr_22</t>
  </si>
  <si>
    <t xml:space="preserve">Количество объектов измерения, преодолевших крышки и исключения</t>
  </si>
  <si>
    <t>metric_smr_23</t>
  </si>
  <si>
    <t xml:space="preserve">perc_from_prev 4</t>
  </si>
  <si>
    <t>metric_smr_24</t>
  </si>
  <si>
    <t xml:space="preserve">perc_from_top 4</t>
  </si>
  <si>
    <t>metric_smr_25</t>
  </si>
  <si>
    <t xml:space="preserve">Количество объектов измерения, по которым произошел расчет метрики</t>
  </si>
  <si>
    <t>metric_smr_26</t>
  </si>
  <si>
    <t xml:space="preserve">perc_from_prev 5</t>
  </si>
  <si>
    <t>metric_smr_27</t>
  </si>
  <si>
    <t xml:space="preserve">perc_from_top 5</t>
  </si>
  <si>
    <t>metric_smr_28</t>
  </si>
  <si>
    <t xml:space="preserve">Количество объектов отклонения </t>
  </si>
  <si>
    <t>metric_smr_29</t>
  </si>
  <si>
    <t xml:space="preserve">perc_from_prev 6</t>
  </si>
  <si>
    <t>metric_smr_30</t>
  </si>
  <si>
    <t xml:space="preserve">perc_from_top 6</t>
  </si>
  <si>
    <t>metric_smr_31</t>
  </si>
  <si>
    <t xml:space="preserve">Количество объектов отклонения, по которым назначена задача</t>
  </si>
  <si>
    <t>metric_smr_32</t>
  </si>
  <si>
    <t xml:space="preserve">perc_from_prev 7</t>
  </si>
  <si>
    <t>metric_smr_33</t>
  </si>
  <si>
    <t xml:space="preserve">perc_from_top 7</t>
  </si>
  <si>
    <t>metric_smr_34</t>
  </si>
  <si>
    <t xml:space="preserve">Доля устраненных отклонений в течение 8 недель</t>
  </si>
  <si>
    <t>мес.</t>
  </si>
  <si>
    <t>metric_smr_35</t>
  </si>
  <si>
    <t xml:space="preserve">Средняя скорость устранения отклонения</t>
  </si>
  <si>
    <t>metric_smr_36</t>
  </si>
  <si>
    <t>metric_smr_37</t>
  </si>
  <si>
    <t xml:space="preserve">Средняя скорость устранения отклонений</t>
  </si>
  <si>
    <t>metric_smr_38</t>
  </si>
  <si>
    <t xml:space="preserve">Количество родительских задач</t>
  </si>
  <si>
    <t>metric_smr_39</t>
  </si>
  <si>
    <t xml:space="preserve">Количество эскалированных задач</t>
  </si>
  <si>
    <t>metric_smr_40</t>
  </si>
  <si>
    <t>metric_smr_41</t>
  </si>
  <si>
    <t>metric_smr_42</t>
  </si>
  <si>
    <t xml:space="preserve">Количество комментариев по задачам</t>
  </si>
  <si>
    <t>Другое</t>
  </si>
  <si>
    <t xml:space="preserve">Комментарии к выполненным мероприятиям</t>
  </si>
  <si>
    <t xml:space="preserve">Обратная связь по интерфейсу</t>
  </si>
  <si>
    <t xml:space="preserve">Обратная связь по предлагаемым действиям</t>
  </si>
  <si>
    <t xml:space="preserve">Обратная связь по расчетам отклонения</t>
  </si>
  <si>
    <t>ERROR</t>
  </si>
  <si>
    <t>metric_smr_43</t>
  </si>
  <si>
    <t>metric_smr_44</t>
  </si>
  <si>
    <t xml:space="preserve">QAU Количество уникальных пользователей в квартал</t>
  </si>
  <si>
    <t>4_2025</t>
  </si>
  <si>
    <t>1_2026</t>
  </si>
  <si>
    <t xml:space="preserve">Высокая доля талонов по специальной регистрации</t>
  </si>
  <si>
    <t xml:space="preserve">Отклонение по боевой численности ВСП</t>
  </si>
  <si>
    <t>metric_smr_45</t>
  </si>
  <si>
    <t xml:space="preserve">Целевое значение по отклонению</t>
  </si>
  <si>
    <t>metric_smr_46</t>
  </si>
  <si>
    <t xml:space="preserve">Бизнес-метрика. Доля БМО по Банку</t>
  </si>
  <si>
    <t xml:space="preserve">Сумма по полю value_s</t>
  </si>
  <si>
    <t xml:space="preserve">Названия столбцов</t>
  </si>
  <si>
    <t xml:space="preserve">Названия строк</t>
  </si>
  <si>
    <t>(пусто)</t>
  </si>
  <si>
    <t xml:space="preserve">Общий итог</t>
  </si>
  <si>
    <r>
      <t xml:space="preserve">Название показателя </t>
    </r>
    <r>
      <rPr>
        <b/>
        <sz val="12"/>
        <color rgb="FF0070C0"/>
        <rFont val="Calibri"/>
        <scheme val="minor"/>
      </rPr>
      <t>metric_name</t>
    </r>
  </si>
  <si>
    <r>
      <t xml:space="preserve">Код метрики </t>
    </r>
    <r>
      <rPr>
        <b/>
        <sz val="12"/>
        <color rgb="FF0070C0"/>
        <rFont val="Calibri"/>
        <scheme val="minor"/>
      </rPr>
      <t>mba</t>
    </r>
  </si>
  <si>
    <r>
      <rPr>
        <b/>
        <sz val="12"/>
        <color theme="1"/>
        <rFont val="Calibri"/>
        <scheme val="minor"/>
      </rPr>
      <t xml:space="preserve">Последовательность метрик/ </t>
    </r>
    <r>
      <rPr>
        <b/>
        <sz val="12"/>
        <color rgb="FF0070C0"/>
        <rFont val="Calibri"/>
        <scheme val="minor"/>
      </rPr>
      <t>order_num</t>
    </r>
  </si>
  <si>
    <t>displayed_order</t>
  </si>
  <si>
    <t xml:space="preserve">Уровень агрегации</t>
  </si>
  <si>
    <t xml:space="preserve">Единица измерения</t>
  </si>
  <si>
    <t>Бизнес-требования</t>
  </si>
  <si>
    <t xml:space="preserve">Функциональные (системные) требования</t>
  </si>
  <si>
    <t xml:space="preserve">Новый/ Существующий показатель</t>
  </si>
  <si>
    <t>Комментарии</t>
  </si>
  <si>
    <t xml:space="preserve">Этап воронки</t>
  </si>
  <si>
    <t xml:space="preserve">ТОП воронки</t>
  </si>
  <si>
    <t>OPER_NUM</t>
  </si>
  <si>
    <t>OPER_NAME</t>
  </si>
  <si>
    <t xml:space="preserve">Дебетовые карты</t>
  </si>
  <si>
    <t xml:space="preserve">Регистрация нового клиента (физического лица)</t>
  </si>
  <si>
    <t>*</t>
  </si>
  <si>
    <t xml:space="preserve">Подключение ДБО</t>
  </si>
  <si>
    <t xml:space="preserve">Оформление заявки на выпуск дебетовой карты</t>
  </si>
  <si>
    <t xml:space="preserve">Оформление заявления на закрытие дебетовой карты</t>
  </si>
  <si>
    <t xml:space="preserve">Оформление заявления на перевыпуск дебетовой карты</t>
  </si>
  <si>
    <t xml:space="preserve">Подключение доп.услуг по дебетовой карте: страхование, смс-информирование</t>
  </si>
  <si>
    <t xml:space="preserve">Выдача дебетовой карты</t>
  </si>
  <si>
    <t xml:space="preserve">Оформление заявления на привязку карты к программе лояльности «Урожай»</t>
  </si>
  <si>
    <t xml:space="preserve">Оформление текущего счета</t>
  </si>
  <si>
    <t xml:space="preserve">Оформление накопительного счета</t>
  </si>
  <si>
    <t xml:space="preserve">Оформление вклада</t>
  </si>
  <si>
    <t xml:space="preserve">Закрытие вклада/накопительного счета/текущего</t>
  </si>
  <si>
    <t xml:space="preserve">Перевод денежных средств со счета</t>
  </si>
  <si>
    <t xml:space="preserve">Покупка/продажа валюты безналично между счетами клиента</t>
  </si>
  <si>
    <t xml:space="preserve">Оформление анкеты-заявления на получение карты и установление кредитного лимита</t>
  </si>
  <si>
    <t xml:space="preserve">Оформление заявления о расторжении договора по кредитной карте</t>
  </si>
  <si>
    <t xml:space="preserve">Оформление заявления на перевыпуск кредитной карты</t>
  </si>
  <si>
    <t xml:space="preserve">Выдача кредитной карты</t>
  </si>
  <si>
    <t xml:space="preserve">Подписание документов для получения кредитной карты</t>
  </si>
  <si>
    <t xml:space="preserve">Оформление Анкеты-заявления на предоставление потребительского кредита</t>
  </si>
  <si>
    <t xml:space="preserve">Подписание кредитно-обеспечительной документации для получения кредита с зачислением безналично на счет</t>
  </si>
  <si>
    <t xml:space="preserve">Подписание документов на подключение ПКС (коллективное страхование)</t>
  </si>
  <si>
    <t xml:space="preserve">Оформление операции оплаты страхового коробочного продукта с безналичным перечислением со счета клиента</t>
  </si>
  <si>
    <t xml:space="preserve">Оформление Анкеты-заявления на предоставление ипотечного кредита</t>
  </si>
  <si>
    <t>Четверг</t>
  </si>
  <si>
    <t>СТАТУС</t>
  </si>
  <si>
    <t>ДСРП</t>
  </si>
  <si>
    <t xml:space="preserve">Авгкуст неделя 2</t>
  </si>
  <si>
    <t xml:space="preserve">Авгкуст неделя 3</t>
  </si>
  <si>
    <t xml:space="preserve">Авгкуст неделя 4</t>
  </si>
  <si>
    <t xml:space="preserve">Авгкуст неделя 5</t>
  </si>
  <si>
    <t xml:space="preserve">Сентябрь неделя 1</t>
  </si>
  <si>
    <t xml:space="preserve">Сентябрь неделя 2</t>
  </si>
  <si>
    <t xml:space="preserve">Сентябрь неделя 3</t>
  </si>
  <si>
    <t xml:space="preserve">Сентябрь неделя 4</t>
  </si>
  <si>
    <t xml:space="preserve">Октябрь неделя 1</t>
  </si>
  <si>
    <t xml:space="preserve">Октябрь неделя 2</t>
  </si>
  <si>
    <t xml:space="preserve">Октябрь неделя 3</t>
  </si>
  <si>
    <t xml:space="preserve">Октябрь неделя 4</t>
  </si>
  <si>
    <t xml:space="preserve">Октябрь неделя 5</t>
  </si>
  <si>
    <t xml:space="preserve">Ноябрь неделя 2</t>
  </si>
  <si>
    <t xml:space="preserve">Ноябрь неделя 3</t>
  </si>
  <si>
    <t xml:space="preserve">Ноябрь неделя 4</t>
  </si>
  <si>
    <t xml:space="preserve">Ноябрь неделя 5</t>
  </si>
  <si>
    <t xml:space="preserve">Декабрь неделя 1</t>
  </si>
  <si>
    <t xml:space="preserve">Декабрь неделя 2</t>
  </si>
  <si>
    <t xml:space="preserve">Декабрь неделя 3</t>
  </si>
  <si>
    <t xml:space="preserve">Декабрь неделя 4</t>
  </si>
  <si>
    <t xml:space="preserve">Январь неделя 3</t>
  </si>
  <si>
    <t xml:space="preserve">Январь неделя 4</t>
  </si>
  <si>
    <t xml:space="preserve">Январь неделя 5</t>
  </si>
  <si>
    <t xml:space="preserve">Февраль неделя 2</t>
  </si>
  <si>
    <t xml:space="preserve">Февраль неделя 3</t>
  </si>
  <si>
    <t xml:space="preserve">Февраль неделя 4</t>
  </si>
  <si>
    <t xml:space="preserve">Февраль неделя 5</t>
  </si>
  <si>
    <t xml:space="preserve"> Март неделя 3</t>
  </si>
  <si>
    <t xml:space="preserve"> Март неделя 4</t>
  </si>
  <si>
    <t xml:space="preserve"> Март неделя 5</t>
  </si>
  <si>
    <t xml:space="preserve"> Март неделя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</si>
</sst>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dd/mm/yyyy"/>
    <numFmt numFmtId="161" formatCode="d/m;@"/>
  </numFmts>
  <fonts count="14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0"/>
      <name val="Calibri"/>
      <scheme val="minor"/>
    </font>
    <font>
      <sz val="11.000000"/>
      <color indexed="2"/>
      <name val="Calibri"/>
      <scheme val="minor"/>
    </font>
    <font>
      <b/>
      <sz val="11.000000"/>
      <color theme="4" tint="-0.249977111117893"/>
      <name val="Calibri"/>
      <scheme val="minor"/>
    </font>
    <font>
      <b/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sz val="14.000000"/>
      <color theme="1"/>
      <name val="Calibri"/>
      <scheme val="minor"/>
    </font>
    <font>
      <strike/>
      <sz val="11.000000"/>
      <color theme="1"/>
      <name val="Calibri"/>
      <scheme val="minor"/>
    </font>
    <font>
      <sz val="11.000000"/>
      <color theme="1" tint="0.499984740745262"/>
      <name val="Calibri"/>
      <scheme val="minor"/>
    </font>
    <font>
      <sz val="11.000000"/>
      <name val="Calibri"/>
      <scheme val="minor"/>
    </font>
    <font>
      <b/>
      <sz val="12.000000"/>
      <color rgb="FF0070C0"/>
      <name val="Calibri"/>
      <scheme val="minor"/>
    </font>
    <font>
      <b/>
      <sz val="11.000000"/>
      <color theme="1" tint="0.499984740745262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-0.249977111117893"/>
        <bgColor rgb="FF7030A0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A9D08D"/>
        <bgColor rgb="FFA9D08D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0" tint="0"/>
        <bgColor theme="0" tint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5"/>
        <bgColor indexed="5"/>
      </patternFill>
    </fill>
    <fill>
      <patternFill patternType="solid">
        <fgColor rgb="FFFFA6F2"/>
        <bgColor rgb="FFFFA6F2"/>
      </patternFill>
    </fill>
    <fill>
      <patternFill patternType="solid">
        <fgColor rgb="FFB8E08C"/>
        <bgColor rgb="FFB8E08C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0"/>
        <bgColor theme="0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 style="none"/>
    </border>
  </borders>
  <cellStyleXfs count="5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17">
    <xf fontId="0" fillId="0" borderId="0" numFmtId="0" xfId="0"/>
    <xf fontId="0" fillId="0" borderId="0" numFmtId="0" xfId="0"/>
    <xf fontId="2" fillId="0" borderId="0" numFmtId="0" xfId="0" applyFont="1"/>
    <xf fontId="3" fillId="2" borderId="1" numFmtId="0" xfId="0" applyFont="1" applyFill="1" applyBorder="1" applyAlignment="1">
      <alignment horizontal="left" vertical="center" wrapText="1"/>
    </xf>
    <xf fontId="0" fillId="0" borderId="0" numFmtId="0" xfId="0" quotePrefix="1"/>
    <xf fontId="4" fillId="0" borderId="0" numFmtId="0" xfId="0" applyFont="1"/>
    <xf fontId="5" fillId="3" borderId="0" numFmtId="0" xfId="0" applyFont="1" applyFill="1" applyAlignment="1">
      <alignment horizontal="left" vertical="center" wrapText="1"/>
    </xf>
    <xf fontId="6" fillId="0" borderId="2" numFmtId="0" xfId="0" applyFont="1" applyBorder="1" applyAlignment="1">
      <alignment horizontal="center"/>
    </xf>
    <xf fontId="6" fillId="4" borderId="2" numFmtId="0" xfId="0" applyFont="1" applyFill="1" applyBorder="1" applyAlignment="1">
      <alignment horizontal="center"/>
    </xf>
    <xf fontId="6" fillId="5" borderId="3" numFmtId="0" xfId="0" applyFont="1" applyFill="1" applyBorder="1" applyAlignment="1">
      <alignment horizontal="center"/>
    </xf>
    <xf fontId="1" fillId="0" borderId="4" numFmtId="0" xfId="1" applyFont="1" applyBorder="1" applyAlignment="1">
      <alignment horizontal="left" vertical="center" wrapText="1"/>
    </xf>
    <xf fontId="0" fillId="4" borderId="2" numFmtId="0" xfId="0" applyFill="1" applyBorder="1" applyAlignment="1">
      <alignment vertical="top" wrapText="1"/>
    </xf>
    <xf fontId="0" fillId="5" borderId="3" numFmtId="0" xfId="0" applyFill="1" applyBorder="1" applyAlignment="1">
      <alignment vertical="top" wrapText="1"/>
    </xf>
    <xf fontId="1" fillId="0" borderId="5" numFmtId="0" xfId="1" applyFont="1" applyBorder="1" applyAlignment="1">
      <alignment horizontal="left" vertical="center" wrapText="1"/>
    </xf>
    <xf fontId="1" fillId="0" borderId="2" numFmtId="0" xfId="1" applyFont="1" applyBorder="1" applyAlignment="1">
      <alignment vertical="center" wrapText="1"/>
    </xf>
    <xf fontId="0" fillId="0" borderId="2" numFmtId="0" xfId="0" applyBorder="1" applyAlignment="1">
      <alignment vertical="center" wrapText="1"/>
    </xf>
    <xf fontId="0" fillId="0" borderId="0" numFmtId="0" xfId="0" applyAlignment="1">
      <alignment horizontal="center"/>
    </xf>
    <xf fontId="7" fillId="6" borderId="0" numFmtId="0" xfId="0" applyFont="1" applyFill="1" applyAlignment="1">
      <alignment horizontal="center"/>
    </xf>
    <xf fontId="0" fillId="6" borderId="0" numFmtId="0" xfId="0" applyFill="1" applyAlignment="1">
      <alignment horizontal="center"/>
    </xf>
    <xf fontId="8" fillId="0" borderId="0" numFmtId="0" xfId="0" applyFont="1" applyAlignment="1">
      <alignment horizontal="center"/>
    </xf>
    <xf fontId="9" fillId="0" borderId="0" numFmtId="0" xfId="0" applyFont="1"/>
    <xf fontId="9" fillId="0" borderId="0" numFmtId="0" xfId="0" applyFont="1" applyAlignment="1">
      <alignment horizontal="center"/>
    </xf>
    <xf fontId="9" fillId="0" borderId="0" numFmtId="0" xfId="0" applyFont="1" applyAlignment="1">
      <alignment horizontal="center" vertical="top" wrapText="1"/>
    </xf>
    <xf fontId="0" fillId="7" borderId="6" numFmtId="0" xfId="0" applyFill="1" applyBorder="1" applyAlignment="1">
      <alignment horizontal="center"/>
    </xf>
    <xf fontId="0" fillId="0" borderId="0" numFmtId="14" xfId="0" applyNumberFormat="1" applyAlignment="1">
      <alignment horizontal="right"/>
    </xf>
    <xf fontId="6" fillId="0" borderId="0" numFmtId="0" xfId="0" applyFont="1" applyAlignment="1">
      <alignment horizontal="center"/>
    </xf>
    <xf fontId="0" fillId="8" borderId="0" numFmtId="0" xfId="0" applyFill="1"/>
    <xf fontId="0" fillId="8" borderId="0" numFmtId="0" xfId="0" applyFill="1" applyAlignment="1">
      <alignment horizontal="center"/>
    </xf>
    <xf fontId="0" fillId="0" borderId="0" numFmtId="2" xfId="0" applyNumberFormat="1" applyAlignment="1">
      <alignment horizontal="center"/>
    </xf>
    <xf fontId="0" fillId="0" borderId="0" numFmtId="1" xfId="0" applyNumberFormat="1" applyAlignment="1">
      <alignment horizontal="center"/>
    </xf>
    <xf fontId="0" fillId="9" borderId="0" numFmtId="1" xfId="0" applyNumberFormat="1" applyFill="1" applyAlignment="1">
      <alignment horizontal="center"/>
    </xf>
    <xf fontId="0" fillId="9" borderId="0" numFmtId="0" xfId="0" applyFill="1" applyAlignment="1">
      <alignment horizontal="left"/>
      <protection hidden="0" locked="1"/>
    </xf>
    <xf fontId="0" fillId="0" borderId="0" numFmtId="0" xfId="0" applyAlignment="1">
      <alignment horizontal="center"/>
      <protection hidden="0" locked="1"/>
    </xf>
    <xf fontId="0" fillId="9" borderId="0" numFmtId="0" xfId="0" applyFill="1" applyAlignment="1">
      <alignment horizontal="left"/>
    </xf>
    <xf fontId="0" fillId="9" borderId="0" numFmtId="0" xfId="0" applyFill="1" applyAlignment="1">
      <alignment horizontal="center"/>
    </xf>
    <xf fontId="0" fillId="10" borderId="0" numFmtId="0" xfId="0" applyFill="1"/>
    <xf fontId="0" fillId="10" borderId="0" numFmtId="0" xfId="4" applyFill="1" applyAlignment="1">
      <alignment horizontal="left"/>
    </xf>
    <xf fontId="0" fillId="0" borderId="0" numFmtId="160" xfId="0" applyNumberFormat="1" applyAlignment="1">
      <alignment horizontal="right"/>
    </xf>
    <xf fontId="0" fillId="11" borderId="0" numFmtId="0" xfId="0" applyFill="1"/>
    <xf fontId="0" fillId="5" borderId="0" numFmtId="0" xfId="0" applyFill="1"/>
    <xf fontId="0" fillId="5" borderId="0" numFmtId="0" xfId="0" applyFill="1" applyAlignment="1">
      <alignment horizontal="left"/>
    </xf>
    <xf fontId="0" fillId="11" borderId="0" numFmtId="0" xfId="0" applyFill="1" applyAlignment="1">
      <alignment horizontal="left"/>
    </xf>
    <xf fontId="0" fillId="10" borderId="0" numFmtId="0" xfId="0" applyFill="1" applyAlignment="1">
      <alignment horizontal="left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/>
    </xf>
    <xf fontId="0" fillId="0" borderId="0" numFmtId="0" xfId="0">
      <protection hidden="0" locked="1"/>
    </xf>
    <xf fontId="0" fillId="0" borderId="0" numFmtId="160" xfId="0" applyNumberFormat="1"/>
    <xf fontId="0" fillId="0" borderId="0" numFmtId="161" xfId="0" applyNumberFormat="1"/>
    <xf fontId="0" fillId="0" borderId="0" numFmtId="14" xfId="0" applyNumberFormat="1"/>
    <xf fontId="0" fillId="0" borderId="0" numFmtId="0" xfId="0" applyAlignment="1">
      <alignment horizontal="left" indent="1"/>
    </xf>
    <xf fontId="10" fillId="0" borderId="0" numFmtId="0" xfId="0" applyFont="1"/>
    <xf fontId="0" fillId="0" borderId="0" numFmtId="0" xfId="0" applyAlignment="1">
      <alignment wrapText="1"/>
    </xf>
    <xf fontId="11" fillId="0" borderId="0" numFmtId="0" xfId="0" applyFont="1"/>
    <xf fontId="2" fillId="12" borderId="7" numFmtId="0" xfId="0" applyFont="1" applyFill="1" applyBorder="1" applyAlignment="1">
      <alignment horizontal="center" vertical="center" wrapText="1"/>
    </xf>
    <xf fontId="12" fillId="12" borderId="7" numFmtId="0" xfId="0" applyFont="1" applyFill="1" applyBorder="1" applyAlignment="1">
      <alignment horizontal="center" vertical="center" wrapText="1"/>
    </xf>
    <xf fontId="2" fillId="12" borderId="6" numFmtId="0" xfId="0" applyFont="1" applyFill="1" applyBorder="1" applyAlignment="1">
      <alignment horizontal="center" vertical="center" wrapText="1"/>
    </xf>
    <xf fontId="2" fillId="13" borderId="6" numFmtId="0" xfId="0" applyFont="1" applyFill="1" applyBorder="1" applyAlignment="1">
      <alignment horizontal="center" vertical="center" wrapText="1"/>
    </xf>
    <xf fontId="10" fillId="0" borderId="0" numFmtId="0" xfId="0" applyFont="1" applyAlignment="1">
      <alignment vertical="center" wrapText="1"/>
    </xf>
    <xf fontId="0" fillId="14" borderId="8" numFmtId="0" xfId="0" applyFill="1" applyBorder="1" applyAlignment="1">
      <alignment horizontal="left" vertical="center" wrapText="1"/>
    </xf>
    <xf fontId="0" fillId="0" borderId="2" numFmtId="0" xfId="0" applyBorder="1" applyAlignment="1">
      <alignment horizontal="center" vertical="center"/>
    </xf>
    <xf fontId="6" fillId="3" borderId="2" numFmtId="0" xfId="0" applyFont="1" applyFill="1" applyBorder="1" applyAlignment="1">
      <alignment horizontal="center" vertical="center" wrapText="1"/>
    </xf>
    <xf fontId="6" fillId="3" borderId="2" numFmtId="49" xfId="0" applyNumberFormat="1" applyFont="1" applyFill="1" applyBorder="1" applyAlignment="1">
      <alignment horizontal="center" vertical="center" wrapText="1"/>
    </xf>
    <xf fontId="0" fillId="3" borderId="2" numFmtId="0" xfId="0" applyFill="1" applyBorder="1" applyAlignment="1">
      <alignment horizontal="center" vertical="center" wrapText="1"/>
    </xf>
    <xf fontId="11" fillId="3" borderId="2" numFmtId="0" xfId="0" applyFont="1" applyFill="1" applyBorder="1" applyAlignment="1">
      <alignment horizontal="center" vertical="center" wrapText="1"/>
    </xf>
    <xf fontId="0" fillId="3" borderId="4" numFmtId="0" xfId="0" applyFill="1" applyBorder="1" applyAlignment="1">
      <alignment horizontal="center" vertical="center" wrapText="1"/>
    </xf>
    <xf fontId="0" fillId="14" borderId="6" numFmtId="0" xfId="0" applyFill="1" applyBorder="1" applyAlignment="1">
      <alignment horizontal="left" vertical="center" wrapText="1"/>
    </xf>
    <xf fontId="0" fillId="14" borderId="0" numFmtId="0" xfId="0" applyFill="1" applyAlignment="1">
      <alignment vertical="center" wrapText="1"/>
    </xf>
    <xf fontId="10" fillId="14" borderId="0" numFmtId="0" xfId="0" applyFont="1" applyFill="1" applyAlignment="1">
      <alignment vertical="center" wrapText="1"/>
    </xf>
    <xf fontId="0" fillId="0" borderId="2" numFmtId="0" xfId="0" applyBorder="1" applyAlignment="1">
      <alignment horizontal="left" vertical="center" wrapText="1"/>
    </xf>
    <xf fontId="11" fillId="3" borderId="3" numFmtId="0" xfId="0" applyFont="1" applyFill="1" applyBorder="1" applyAlignment="1">
      <alignment horizontal="center" vertical="center" wrapText="1"/>
    </xf>
    <xf fontId="0" fillId="14" borderId="6" numFmtId="0" xfId="0" applyFill="1" applyBorder="1" applyAlignment="1">
      <alignment horizontal="center" vertical="center" wrapText="1"/>
    </xf>
    <xf fontId="0" fillId="14" borderId="0" numFmtId="0" xfId="0" applyFill="1" applyAlignment="1">
      <alignment horizontal="left" vertical="center" wrapText="1"/>
    </xf>
    <xf fontId="0" fillId="14" borderId="9" numFmtId="0" xfId="0" applyFill="1" applyBorder="1" applyAlignment="1">
      <alignment horizontal="left" vertical="center" wrapText="1"/>
    </xf>
    <xf fontId="0" fillId="14" borderId="9" numFmtId="0" xfId="0" applyFill="1" applyBorder="1" applyAlignment="1">
      <alignment vertical="center" wrapText="1"/>
    </xf>
    <xf fontId="13" fillId="0" borderId="0" numFmtId="0" xfId="0" applyFont="1" applyAlignment="1">
      <alignment vertical="center" wrapText="1"/>
    </xf>
    <xf fontId="6" fillId="3" borderId="6" numFmtId="0" xfId="0" applyFont="1" applyFill="1" applyBorder="1" applyAlignment="1">
      <alignment horizontal="left" vertical="center" wrapText="1"/>
    </xf>
    <xf fontId="0" fillId="14" borderId="6" numFmtId="0" xfId="0" applyFill="1" applyBorder="1" applyAlignment="1">
      <alignment vertical="center" wrapText="1"/>
    </xf>
    <xf fontId="13" fillId="14" borderId="0" numFmtId="0" xfId="0" applyFont="1" applyFill="1" applyAlignment="1">
      <alignment vertical="center" wrapText="1"/>
    </xf>
    <xf fontId="0" fillId="0" borderId="8" numFmtId="0" xfId="0" applyBorder="1" applyAlignment="1">
      <alignment horizontal="center" vertical="center" wrapText="1"/>
    </xf>
    <xf fontId="0" fillId="14" borderId="10" numFmtId="0" xfId="0" applyFill="1" applyBorder="1" applyAlignment="1">
      <alignment horizontal="left" vertical="center" wrapText="1"/>
    </xf>
    <xf fontId="0" fillId="0" borderId="6" numFmtId="0" xfId="0" applyBorder="1" applyAlignment="1">
      <alignment vertical="center" wrapText="1"/>
    </xf>
    <xf fontId="0" fillId="0" borderId="6" numFmtId="0" xfId="0" applyBorder="1" applyAlignment="1">
      <alignment horizontal="center" vertical="center" wrapText="1"/>
    </xf>
    <xf fontId="0" fillId="0" borderId="0" numFmtId="0" xfId="0" applyAlignment="1">
      <alignment vertical="center"/>
    </xf>
    <xf fontId="0" fillId="0" borderId="6" numFmtId="0" xfId="0" applyBorder="1" applyAlignment="1">
      <alignment horizontal="left" vertical="center" wrapText="1"/>
    </xf>
    <xf fontId="0" fillId="3" borderId="6" numFmtId="0" xfId="0" applyFill="1" applyBorder="1" applyAlignment="1">
      <alignment horizontal="left" vertical="center" wrapText="1"/>
    </xf>
    <xf fontId="0" fillId="0" borderId="6" numFmtId="0" xfId="0" applyBorder="1" applyAlignment="1">
      <alignment vertical="center"/>
    </xf>
    <xf fontId="10" fillId="0" borderId="0" numFmtId="0" xfId="0" applyFont="1" applyAlignment="1">
      <alignment vertical="center"/>
    </xf>
    <xf fontId="0" fillId="0" borderId="10" numFmtId="0" xfId="0" applyBorder="1" applyAlignment="1">
      <alignment horizontal="left" vertical="center" wrapText="1"/>
    </xf>
    <xf fontId="0" fillId="0" borderId="10" numFmtId="0" xfId="0" applyBorder="1" applyAlignment="1">
      <alignment horizontal="center" vertical="center" wrapText="1"/>
    </xf>
    <xf fontId="6" fillId="3" borderId="4" numFmtId="0" xfId="0" applyFont="1" applyFill="1" applyBorder="1" applyAlignment="1">
      <alignment horizontal="center" vertical="center" wrapText="1"/>
    </xf>
    <xf fontId="6" fillId="3" borderId="4" numFmtId="49" xfId="0" applyNumberFormat="1" applyFont="1" applyFill="1" applyBorder="1" applyAlignment="1">
      <alignment horizontal="center" vertical="center" wrapText="1"/>
    </xf>
    <xf fontId="11" fillId="3" borderId="11" numFmtId="0" xfId="0" applyFont="1" applyFill="1" applyBorder="1" applyAlignment="1">
      <alignment horizontal="center" vertical="center" wrapText="1"/>
    </xf>
    <xf fontId="0" fillId="14" borderId="10" numFmtId="0" xfId="0" applyFill="1" applyBorder="1" applyAlignment="1">
      <alignment horizontal="center" vertical="center" wrapText="1"/>
    </xf>
    <xf fontId="6" fillId="3" borderId="6" numFmtId="0" xfId="0" applyFont="1" applyFill="1" applyBorder="1" applyAlignment="1">
      <alignment horizontal="center" vertical="center" wrapText="1"/>
    </xf>
    <xf fontId="6" fillId="3" borderId="6" numFmtId="49" xfId="0" applyNumberFormat="1" applyFont="1" applyFill="1" applyBorder="1" applyAlignment="1">
      <alignment horizontal="center" vertical="center" wrapText="1"/>
    </xf>
    <xf fontId="0" fillId="3" borderId="12" numFmtId="0" xfId="0" applyFill="1" applyBorder="1" applyAlignment="1">
      <alignment horizontal="center" vertical="center" wrapText="1"/>
    </xf>
    <xf fontId="0" fillId="3" borderId="6" numFmtId="0" xfId="0" applyFill="1" applyBorder="1" applyAlignment="1">
      <alignment horizontal="center" vertical="center" wrapText="1"/>
    </xf>
    <xf fontId="11" fillId="3" borderId="6" numFmtId="0" xfId="0" applyFont="1" applyFill="1" applyBorder="1" applyAlignment="1">
      <alignment horizontal="center" vertical="center" wrapText="1"/>
    </xf>
    <xf fontId="0" fillId="0" borderId="6" numFmtId="0" xfId="0" applyBorder="1" applyAlignment="1">
      <alignment horizontal="left" vertical="center"/>
    </xf>
    <xf fontId="11" fillId="0" borderId="0" numFmtId="0" xfId="0" applyFont="1" applyAlignment="1">
      <alignment vertical="center"/>
    </xf>
    <xf fontId="6" fillId="0" borderId="6" numFmtId="0" xfId="0" applyFont="1" applyBorder="1" applyAlignment="1">
      <alignment wrapText="1"/>
    </xf>
    <xf fontId="6" fillId="0" borderId="6" numFmtId="0" xfId="0" applyFont="1" applyBorder="1" applyAlignment="1">
      <alignment horizontal="center" vertical="center" wrapText="1"/>
    </xf>
    <xf fontId="0" fillId="5" borderId="13" numFmtId="0" xfId="0" applyFill="1" applyBorder="1" applyAlignment="1">
      <alignment horizontal="center"/>
    </xf>
    <xf fontId="0" fillId="5" borderId="13" numFmtId="0" xfId="0" applyFill="1" applyBorder="1"/>
    <xf fontId="0" fillId="0" borderId="13" numFmtId="0" xfId="0" applyBorder="1" applyAlignment="1">
      <alignment horizontal="center"/>
    </xf>
    <xf fontId="0" fillId="0" borderId="13" numFmtId="0" xfId="0" applyBorder="1"/>
    <xf fontId="0" fillId="0" borderId="0" numFmtId="9" xfId="1" applyNumberFormat="1" applyAlignment="1">
      <alignment horizontal="center"/>
    </xf>
    <xf fontId="0" fillId="0" borderId="2" numFmtId="0" xfId="0" applyBorder="1" applyAlignment="1">
      <alignment horizontal="center"/>
    </xf>
    <xf fontId="0" fillId="0" borderId="2" numFmtId="9" xfId="1" applyNumberFormat="1" applyBorder="1" applyAlignment="1">
      <alignment horizontal="center"/>
    </xf>
    <xf fontId="0" fillId="9" borderId="2" numFmtId="160" xfId="0" applyNumberFormat="1" applyFill="1" applyBorder="1" applyAlignment="1">
      <alignment horizontal="center"/>
    </xf>
    <xf fontId="0" fillId="9" borderId="2" numFmtId="9" xfId="1" applyNumberFormat="1" applyFill="1" applyBorder="1" applyAlignment="1">
      <alignment horizontal="center"/>
    </xf>
    <xf fontId="0" fillId="9" borderId="2" numFmtId="0" xfId="0" applyFill="1" applyBorder="1"/>
    <xf fontId="0" fillId="0" borderId="0" numFmtId="1" xfId="0" applyNumberFormat="1"/>
    <xf fontId="0" fillId="9" borderId="2" numFmtId="0" xfId="0" applyFill="1" applyBorder="1">
      <protection hidden="0" locked="1"/>
    </xf>
    <xf fontId="0" fillId="0" borderId="2" numFmtId="160" xfId="0" applyNumberFormat="1" applyBorder="1" applyAlignment="1">
      <alignment horizontal="center"/>
    </xf>
    <xf fontId="0" fillId="0" borderId="2" numFmtId="0" xfId="0" applyBorder="1"/>
  </cellXfs>
  <cellStyles count="5">
    <cellStyle name="Гиперссылка" xfId="1" builtinId="8"/>
    <cellStyle name="Обычный" xfId="0" builtinId="0"/>
    <cellStyle name="Обычный 2" xfId="2"/>
    <cellStyle name="Обычный 3" xfId="3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1" Type="http://schemas.openxmlformats.org/officeDocument/2006/relationships/styles" Target="styles.xml"/><Relationship  Id="rId10" Type="http://schemas.openxmlformats.org/officeDocument/2006/relationships/sharedStrings" Target="sharedStrings.xml"/><Relationship  Id="rId9" Type="http://schemas.openxmlformats.org/officeDocument/2006/relationships/theme" Target="theme/theme1.xml"/><Relationship  Id="rId8" Type="http://schemas.openxmlformats.org/officeDocument/2006/relationships/worksheet" Target="worksheets/sheet7.xml"/><Relationship  Id="rId7" Type="http://schemas.openxmlformats.org/officeDocument/2006/relationships/worksheet" Target="worksheets/sheet6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916">
  <cacheSource type="worksheet">
    <worksheetSource ref="B9:L1786" sheet="Основное"/>
  </cacheSource>
  <cacheFields count="11">
    <cacheField name="date_end">
      <sharedItems containsNonDate="0" containsDate="1" containsString="0" containsBlank="1" minDate="2025-06-02T00:00:00" maxDate="2026-04-30T00:00:00" count="37">
        <d v="2025-08-28T00:00:00"/>
        <d v="2025-09-04T00:00:00"/>
        <d v="2025-09-11T00:00:00"/>
        <d v="2025-09-18T00:00:00"/>
        <d v="2025-09-25T00:00:00"/>
        <d v="2025-10-02T00:00:00"/>
        <d v="2025-10-09T00:00:00"/>
        <d v="2025-10-16T00:00:00"/>
        <d v="2025-10-23T00:00:00"/>
        <d v="2025-10-30T00:00:00"/>
        <d v="2025-11-06T00:00:00"/>
        <d v="2025-11-13T00:00:00"/>
        <d v="2025-11-20T00:00:00"/>
        <d v="2025-11-27T00:00:00"/>
        <d v="2025-12-04T00:00:00"/>
        <d v="2025-12-11T00:00:00"/>
        <d v="2025-12-18T00:00:00"/>
        <d v="2025-12-25T00:00:00"/>
        <d v="2026-01-15T00:00:00"/>
        <d v="2026-01-22T00:00:00"/>
        <d v="2026-01-29T00:00:00"/>
        <d v="2026-02-05T00:00:00"/>
        <d v="2026-02-12T00:00:00"/>
        <d v="2026-02-19T00:00:00"/>
        <d v="2026-02-26T00:00:00"/>
        <d v="2026-03-05T00:00:00"/>
        <d v="2026-03-12T00:00:00"/>
        <d v="2026-03-19T00:00:00"/>
        <d v="2026-03-26T00:00:00"/>
        <d v="2026-04-02T00:00:00"/>
        <d v="2026-04-09T00:00:00"/>
        <d v="2025-06-02T00:00:00"/>
        <d v="2025-07-02T00:00:00"/>
        <d v="2026-04-16T00:00:00"/>
        <d v="2026-04-23T00:00:00"/>
        <d v="2026-04-30T00:00:00"/>
        <m/>
      </sharedItems>
    </cacheField>
    <cacheField name="value_s">
      <sharedItems containsString="0" containsBlank="1" containsNumber="1" minValue="-1" maxValue="2490"/>
    </cacheField>
    <cacheField name="metric_id">
      <sharedItems containsBlank="1" count="46">
        <s v="metric_smr_1"/>
        <s v="metric_smr_2"/>
        <s v="metric_smr_3"/>
        <s v="metric_smr_4"/>
        <s v="metric_smr_5"/>
        <s v="metric_smr_10"/>
        <s v="metric_smr_9"/>
        <s v="metric_smr_8"/>
        <s v="metric_smr_7"/>
        <s v="metric_smr_11"/>
        <s v="metric_smr_12"/>
        <s v="metric_smr_13"/>
        <s v="metric_smr_14"/>
        <s v="metric_smr_15"/>
        <s v="metric_smr_16"/>
        <s v="metric_smr_17"/>
        <s v="metric_smr_18"/>
        <s v="metric_smr_19"/>
        <s v="metric_smr_20"/>
        <s v="metric_smr_21"/>
        <s v="metric_smr_22"/>
        <s v="metric_smr_23"/>
        <s v="metric_smr_24"/>
        <s v="metric_smr_25"/>
        <s v="metric_smr_26"/>
        <s v="metric_smr_27"/>
        <s v="metric_smr_28"/>
        <s v="metric_smr_29"/>
        <s v="metric_smr_30"/>
        <s v="metric_smr_31"/>
        <s v="metric_smr_32"/>
        <s v="metric_smr_33"/>
        <s v="metric_smr_34"/>
        <s v="metric_smr_35"/>
        <s v="metric_smr_36"/>
        <s v="metric_smr_37"/>
        <s v="metric_smr_38"/>
        <s v="metric_smr_39"/>
        <s v="metric_smr_40"/>
        <s v="metric_smr_41"/>
        <s v="metric_smr_42"/>
        <s v="metric_smr_43"/>
        <s v="metric_smr_44"/>
        <s v="metric_smr_45"/>
        <s v="metric_smr_46"/>
        <m/>
      </sharedItems>
    </cacheField>
    <cacheField name="metric_name">
      <sharedItems containsBlank="1" count="42">
        <s v="Количество активных видов отклонений за период"/>
        <s v="Количество подразделений с отклонениями"/>
        <s v="Количество сотрудников с отклонениями"/>
        <s v="Средний счетчик повторов отклонений"/>
        <s v="Средняя пораженность отклонениями"/>
        <s v="Средняя пораженность отклонением"/>
        <s v="Количество сотрудников с отклонением"/>
        <s v="Количество подразделений с отклонением"/>
        <s v="Средний счетчик повторов отклонения"/>
        <s v="Количество видов отклонений в системе"/>
        <s v="Приостановка отклонения"/>
        <s v="Деактивация отклонения"/>
        <s v="Внедрение нового отклонения"/>
        <s v="Количество объектов измерения, имеющие хоть 1 цифровой след (=был на работе)"/>
        <s v="Количество объектов измерения, которые работали в системах-источниках для расчета метрики отклонения"/>
        <s v="perc_from_prev 2"/>
        <s v="perc_from_top 2"/>
        <s v="из них, Количество объектов измерения, которые фактически работали в ВСП, где должна работать (установлена) ИСУО"/>
        <s v="perc_from_prev 3"/>
        <s v="perc_from_top 3"/>
        <s v="Количество объектов измерения, преодолевших крышки и исключения"/>
        <s v="perc_from_prev 4"/>
        <s v="perc_from_top 4"/>
        <s v="Количество объектов измерения, по которым произошел расчет метрики"/>
        <s v="perc_from_prev 5"/>
        <s v="perc_from_top 5"/>
        <s v="Количество объектов отклонения "/>
        <s v="perc_from_prev 6"/>
        <s v="perc_from_top 6"/>
        <s v="Количество объектов отклонения, по которым назначена задача"/>
        <s v="perc_from_prev 7"/>
        <s v="perc_from_top 7"/>
        <s v="Доля устраненных отклонений в течение 8 недель"/>
        <s v="Средняя скорость устранения отклонения"/>
        <s v="Средняя скорость устранения отклонений"/>
        <s v="Количество родительских задач"/>
        <s v="Количество эскалированных задач"/>
        <s v="Количество комментариев по задачам"/>
        <s v="QAU Количество уникальных пользователей в квартал"/>
        <s v="Целевое значение по отклонению"/>
        <s v="Бизнес-метрика. Доля БМО по Банку"/>
        <m/>
      </sharedItems>
    </cacheField>
    <cacheField name="СЛАЙД">
      <sharedItems containsString="0" containsBlank="1" containsNumber="1" containsInteger="1" minValue="1" maxValue="3" count="4">
        <n v="1"/>
        <n v="3"/>
        <n v="2"/>
        <m/>
      </sharedItems>
    </cacheField>
    <cacheField name="ЕИ">
      <sharedItems containsBlank="1"/>
    </cacheField>
    <cacheField name="Период">
      <sharedItems containsBlank="1"/>
    </cacheField>
    <cacheField name="level">
      <sharedItems containsBlank="1"/>
    </cacheField>
    <cacheField name="level_name">
      <sharedItems containsNonDate="0" containsString="0" containsBlank="1"/>
    </cacheField>
    <cacheField name="deviation_name">
      <sharedItems containsBlank="1" count="29">
        <m/>
        <s v="Низкая доля операций, подписанных с использованием БМО"/>
        <s v="КПЭ очереди ВСП"/>
        <s v="Высокая доля перенаправлений на новую услугу"/>
        <s v="Высокая доля обслуживания нецелевых клиентов"/>
        <s v="Вызов талона из списка Сброшенные другими"/>
        <s v="Высокая доля зарегистрированных талонов по Спец. Регистрации по подразделению"/>
        <s v="Вызов сотрудником талона из Отложенных талонов  другими сотрудниками"/>
        <s v="Высокая доля жалоб по ВСП"/>
        <s v="Высокое время ожидания в кассу"/>
        <s v="Нарушение продолжительности перерывов в работе"/>
        <s v="Недоработки сотрудника по месяцам"/>
        <s v="Нарушение стандарта СТАТУС. Пользователь регулярно не входит в СТАТУС"/>
        <s v="Высокая доля нарушений стандарта работы с задачами ИС СТАТУС"/>
        <s v="Низкая продуктивность сотрудника за период"/>
        <s v="Низкая конверсия ДК"/>
        <s v="Низкая конверсия НС"/>
        <s v="Низкая конверсия ДБО с авторизацией"/>
        <s v="Некорректное перенаправление клиента на новую услугу (не в начало очереди)"/>
        <s v="Несвоевременное завершение работы с клиентами (по ИСУО)"/>
        <s v="Несвоевременное начало работы с клиентами (по ИСУО)"/>
        <s v="Несоблюдение графика отпусков"/>
        <s v="Отсутствие планового графика на начало месяца"/>
        <s v="Переработки сотрудника по месяцам"/>
        <s v="Подозрение фальсификации данных по клиентопотоку - перенаправлен и сброшен"/>
        <s v="Работа сотрудника в ПО, непредусмотренном должностными инструкциями"/>
        <s v="РВСП не подключается к обслуживанию клиентов в ИСУО"/>
        <s v="Высокая доля талонов по специальной регистрации"/>
        <s v="Отклонение по боевой численности ВСП"/>
      </sharedItems>
    </cacheField>
    <cacheField name="comment_theme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6">
  <r>
    <x v="0"/>
    <n v="34"/>
    <x v="0"/>
    <x v="0"/>
    <x v="0"/>
    <s v="шт."/>
    <s v="нед."/>
    <s v="Банк"/>
    <m/>
    <x v="0"/>
    <m/>
  </r>
  <r>
    <x v="1"/>
    <n v="34"/>
    <x v="0"/>
    <x v="0"/>
    <x v="0"/>
    <s v="шт."/>
    <s v="нед."/>
    <s v="Банк"/>
    <m/>
    <x v="0"/>
    <m/>
  </r>
  <r>
    <x v="2"/>
    <n v="32"/>
    <x v="0"/>
    <x v="0"/>
    <x v="0"/>
    <s v="шт."/>
    <s v="нед."/>
    <s v="Банк"/>
    <m/>
    <x v="0"/>
    <m/>
  </r>
  <r>
    <x v="3"/>
    <n v="32"/>
    <x v="0"/>
    <x v="0"/>
    <x v="0"/>
    <s v="шт."/>
    <s v="нед."/>
    <s v="Банк"/>
    <m/>
    <x v="0"/>
    <m/>
  </r>
  <r>
    <x v="4"/>
    <n v="25"/>
    <x v="0"/>
    <x v="0"/>
    <x v="0"/>
    <s v="шт."/>
    <s v="нед."/>
    <s v="Банк"/>
    <m/>
    <x v="0"/>
    <m/>
  </r>
  <r>
    <x v="5"/>
    <n v="25"/>
    <x v="0"/>
    <x v="0"/>
    <x v="0"/>
    <s v="шт."/>
    <s v="нед."/>
    <s v="Банк"/>
    <m/>
    <x v="0"/>
    <m/>
  </r>
  <r>
    <x v="6"/>
    <n v="25"/>
    <x v="0"/>
    <x v="0"/>
    <x v="0"/>
    <s v="шт."/>
    <s v="нед."/>
    <s v="Банк"/>
    <m/>
    <x v="0"/>
    <m/>
  </r>
  <r>
    <x v="7"/>
    <n v="25"/>
    <x v="0"/>
    <x v="0"/>
    <x v="0"/>
    <s v="шт."/>
    <s v="нед."/>
    <s v="Банк"/>
    <m/>
    <x v="0"/>
    <m/>
  </r>
  <r>
    <x v="8"/>
    <n v="25"/>
    <x v="0"/>
    <x v="0"/>
    <x v="0"/>
    <s v="шт."/>
    <s v="нед."/>
    <s v="Банк"/>
    <m/>
    <x v="0"/>
    <m/>
  </r>
  <r>
    <x v="9"/>
    <n v="23"/>
    <x v="0"/>
    <x v="0"/>
    <x v="0"/>
    <s v="шт."/>
    <s v="нед."/>
    <s v="Банк"/>
    <m/>
    <x v="0"/>
    <m/>
  </r>
  <r>
    <x v="10"/>
    <n v="23"/>
    <x v="0"/>
    <x v="0"/>
    <x v="0"/>
    <s v="шт."/>
    <s v="нед."/>
    <s v="Банк"/>
    <m/>
    <x v="0"/>
    <m/>
  </r>
  <r>
    <x v="11"/>
    <n v="23"/>
    <x v="0"/>
    <x v="0"/>
    <x v="0"/>
    <s v="шт."/>
    <s v="нед."/>
    <s v="Банк"/>
    <m/>
    <x v="0"/>
    <m/>
  </r>
  <r>
    <x v="12"/>
    <n v="23"/>
    <x v="0"/>
    <x v="0"/>
    <x v="0"/>
    <s v="шт."/>
    <s v="нед."/>
    <s v="Банк"/>
    <m/>
    <x v="0"/>
    <m/>
  </r>
  <r>
    <x v="13"/>
    <n v="25"/>
    <x v="0"/>
    <x v="0"/>
    <x v="0"/>
    <s v="шт."/>
    <s v="нед."/>
    <s v="Банк"/>
    <m/>
    <x v="0"/>
    <m/>
  </r>
  <r>
    <x v="14"/>
    <n v="24"/>
    <x v="0"/>
    <x v="0"/>
    <x v="0"/>
    <s v="шт."/>
    <s v="нед."/>
    <s v="Банк"/>
    <m/>
    <x v="0"/>
    <m/>
  </r>
  <r>
    <x v="15"/>
    <n v="24"/>
    <x v="0"/>
    <x v="0"/>
    <x v="0"/>
    <s v="шт."/>
    <s v="нед."/>
    <s v="Банк"/>
    <m/>
    <x v="0"/>
    <m/>
  </r>
  <r>
    <x v="16"/>
    <n v="16"/>
    <x v="0"/>
    <x v="0"/>
    <x v="0"/>
    <s v="шт."/>
    <s v="нед."/>
    <s v="Банк"/>
    <m/>
    <x v="0"/>
    <m/>
  </r>
  <r>
    <x v="17"/>
    <n v="16"/>
    <x v="0"/>
    <x v="0"/>
    <x v="0"/>
    <s v="шт."/>
    <s v="нед."/>
    <s v="Банк"/>
    <m/>
    <x v="0"/>
    <m/>
  </r>
  <r>
    <x v="18"/>
    <n v="16"/>
    <x v="0"/>
    <x v="0"/>
    <x v="0"/>
    <s v="шт."/>
    <s v="нед."/>
    <s v="Банк"/>
    <m/>
    <x v="0"/>
    <m/>
  </r>
  <r>
    <x v="19"/>
    <n v="16"/>
    <x v="0"/>
    <x v="0"/>
    <x v="0"/>
    <s v="шт."/>
    <s v="нед."/>
    <s v="Банк"/>
    <m/>
    <x v="0"/>
    <m/>
  </r>
  <r>
    <x v="20"/>
    <n v="16"/>
    <x v="0"/>
    <x v="0"/>
    <x v="0"/>
    <s v="шт."/>
    <s v="нед."/>
    <s v="Банк"/>
    <m/>
    <x v="0"/>
    <m/>
  </r>
  <r>
    <x v="21"/>
    <n v="16"/>
    <x v="0"/>
    <x v="0"/>
    <x v="0"/>
    <s v="шт."/>
    <s v="нед."/>
    <s v="Банк"/>
    <m/>
    <x v="0"/>
    <m/>
  </r>
  <r>
    <x v="22"/>
    <n v="16"/>
    <x v="0"/>
    <x v="0"/>
    <x v="0"/>
    <s v="шт."/>
    <s v="нед."/>
    <s v="Банк"/>
    <m/>
    <x v="0"/>
    <m/>
  </r>
  <r>
    <x v="23"/>
    <n v="16"/>
    <x v="0"/>
    <x v="0"/>
    <x v="0"/>
    <s v="шт."/>
    <s v="нед."/>
    <s v="Банк"/>
    <m/>
    <x v="0"/>
    <m/>
  </r>
  <r>
    <x v="24"/>
    <n v="16"/>
    <x v="0"/>
    <x v="0"/>
    <x v="0"/>
    <s v="шт."/>
    <s v="нед."/>
    <s v="Банк"/>
    <m/>
    <x v="0"/>
    <m/>
  </r>
  <r>
    <x v="25"/>
    <n v="16"/>
    <x v="0"/>
    <x v="0"/>
    <x v="0"/>
    <s v="шт."/>
    <s v="нед."/>
    <s v="Банк"/>
    <m/>
    <x v="0"/>
    <m/>
  </r>
  <r>
    <x v="26"/>
    <n v="16"/>
    <x v="0"/>
    <x v="0"/>
    <x v="0"/>
    <s v="шт."/>
    <s v="нед."/>
    <s v="Банк"/>
    <m/>
    <x v="0"/>
    <m/>
  </r>
  <r>
    <x v="27"/>
    <n v="16"/>
    <x v="0"/>
    <x v="0"/>
    <x v="0"/>
    <s v="шт."/>
    <s v="нед."/>
    <s v="Банк"/>
    <m/>
    <x v="0"/>
    <m/>
  </r>
  <r>
    <x v="28"/>
    <n v="16"/>
    <x v="0"/>
    <x v="0"/>
    <x v="0"/>
    <s v="шт."/>
    <s v="нед."/>
    <s v="Банк"/>
    <m/>
    <x v="0"/>
    <m/>
  </r>
  <r>
    <x v="29"/>
    <n v="16"/>
    <x v="0"/>
    <x v="0"/>
    <x v="0"/>
    <s v="шт."/>
    <s v="нед."/>
    <s v="Банк"/>
    <m/>
    <x v="0"/>
    <m/>
  </r>
  <r>
    <x v="30"/>
    <n v="16"/>
    <x v="0"/>
    <x v="0"/>
    <x v="0"/>
    <s v="шт."/>
    <s v="нед."/>
    <s v="Банк"/>
    <m/>
    <x v="0"/>
    <m/>
  </r>
  <r>
    <x v="0"/>
    <n v="515"/>
    <x v="1"/>
    <x v="1"/>
    <x v="0"/>
    <s v="шт."/>
    <s v="нед."/>
    <s v="Банк"/>
    <m/>
    <x v="0"/>
    <m/>
  </r>
  <r>
    <x v="1"/>
    <n v="546"/>
    <x v="1"/>
    <x v="1"/>
    <x v="0"/>
    <s v="шт."/>
    <s v="нед."/>
    <s v="Банк"/>
    <m/>
    <x v="0"/>
    <m/>
  </r>
  <r>
    <x v="2"/>
    <n v="499"/>
    <x v="1"/>
    <x v="1"/>
    <x v="0"/>
    <s v="шт."/>
    <s v="нед."/>
    <s v="Банк"/>
    <m/>
    <x v="0"/>
    <m/>
  </r>
  <r>
    <x v="3"/>
    <n v="518"/>
    <x v="1"/>
    <x v="1"/>
    <x v="0"/>
    <s v="шт."/>
    <s v="нед."/>
    <s v="Банк"/>
    <m/>
    <x v="0"/>
    <m/>
  </r>
  <r>
    <x v="4"/>
    <n v="497"/>
    <x v="1"/>
    <x v="1"/>
    <x v="0"/>
    <s v="шт."/>
    <s v="нед."/>
    <s v="Банк"/>
    <m/>
    <x v="0"/>
    <m/>
  </r>
  <r>
    <x v="5"/>
    <n v="517"/>
    <x v="1"/>
    <x v="1"/>
    <x v="0"/>
    <s v="шт."/>
    <s v="нед."/>
    <s v="Банк"/>
    <m/>
    <x v="0"/>
    <m/>
  </r>
  <r>
    <x v="6"/>
    <n v="433"/>
    <x v="1"/>
    <x v="1"/>
    <x v="0"/>
    <s v="шт."/>
    <s v="нед."/>
    <s v="Банк"/>
    <m/>
    <x v="0"/>
    <m/>
  </r>
  <r>
    <x v="7"/>
    <n v="448"/>
    <x v="1"/>
    <x v="1"/>
    <x v="0"/>
    <s v="шт."/>
    <s v="нед."/>
    <s v="Банк"/>
    <m/>
    <x v="0"/>
    <m/>
  </r>
  <r>
    <x v="8"/>
    <n v="473"/>
    <x v="1"/>
    <x v="1"/>
    <x v="0"/>
    <s v="шт."/>
    <s v="нед."/>
    <s v="Банк"/>
    <m/>
    <x v="0"/>
    <m/>
  </r>
  <r>
    <x v="9"/>
    <n v="504"/>
    <x v="1"/>
    <x v="1"/>
    <x v="0"/>
    <s v="шт."/>
    <s v="нед."/>
    <s v="Банк"/>
    <m/>
    <x v="0"/>
    <m/>
  </r>
  <r>
    <x v="10"/>
    <n v="573"/>
    <x v="1"/>
    <x v="1"/>
    <x v="0"/>
    <s v="шт."/>
    <s v="нед."/>
    <s v="Банк"/>
    <m/>
    <x v="0"/>
    <m/>
  </r>
  <r>
    <x v="11"/>
    <n v="516"/>
    <x v="1"/>
    <x v="1"/>
    <x v="0"/>
    <s v="шт."/>
    <s v="нед."/>
    <s v="Банк"/>
    <m/>
    <x v="0"/>
    <m/>
  </r>
  <r>
    <x v="12"/>
    <n v="487"/>
    <x v="1"/>
    <x v="1"/>
    <x v="0"/>
    <s v="шт."/>
    <s v="нед."/>
    <s v="Банк"/>
    <m/>
    <x v="0"/>
    <m/>
  </r>
  <r>
    <x v="13"/>
    <n v="467"/>
    <x v="1"/>
    <x v="1"/>
    <x v="0"/>
    <s v="шт."/>
    <s v="нед."/>
    <s v="Банк"/>
    <m/>
    <x v="0"/>
    <m/>
  </r>
  <r>
    <x v="14"/>
    <n v="499"/>
    <x v="1"/>
    <x v="1"/>
    <x v="0"/>
    <s v="шт."/>
    <s v="нед."/>
    <s v="Банк"/>
    <m/>
    <x v="0"/>
    <m/>
  </r>
  <r>
    <x v="15"/>
    <n v="625"/>
    <x v="1"/>
    <x v="1"/>
    <x v="0"/>
    <s v="шт."/>
    <s v="нед."/>
    <s v="Банк"/>
    <m/>
    <x v="0"/>
    <m/>
  </r>
  <r>
    <x v="16"/>
    <n v="891"/>
    <x v="1"/>
    <x v="1"/>
    <x v="0"/>
    <s v="шт."/>
    <s v="нед."/>
    <s v="Банк"/>
    <m/>
    <x v="0"/>
    <m/>
  </r>
  <r>
    <x v="17"/>
    <n v="903"/>
    <x v="1"/>
    <x v="1"/>
    <x v="0"/>
    <s v="шт."/>
    <s v="нед."/>
    <s v="Банк"/>
    <m/>
    <x v="0"/>
    <m/>
  </r>
  <r>
    <x v="18"/>
    <n v="857"/>
    <x v="1"/>
    <x v="1"/>
    <x v="0"/>
    <s v="шт."/>
    <s v="нед."/>
    <s v="Банк"/>
    <m/>
    <x v="0"/>
    <m/>
  </r>
  <r>
    <x v="19"/>
    <n v="807"/>
    <x v="1"/>
    <x v="1"/>
    <x v="0"/>
    <s v="шт."/>
    <s v="нед."/>
    <s v="Банк"/>
    <m/>
    <x v="0"/>
    <m/>
  </r>
  <r>
    <x v="20"/>
    <n v="791"/>
    <x v="1"/>
    <x v="1"/>
    <x v="0"/>
    <s v="шт."/>
    <s v="нед."/>
    <s v="Банк"/>
    <m/>
    <x v="0"/>
    <m/>
  </r>
  <r>
    <x v="21"/>
    <n v="759"/>
    <x v="1"/>
    <x v="1"/>
    <x v="0"/>
    <s v="шт."/>
    <s v="нед."/>
    <s v="Банк"/>
    <m/>
    <x v="0"/>
    <m/>
  </r>
  <r>
    <x v="22"/>
    <n v="734"/>
    <x v="1"/>
    <x v="1"/>
    <x v="0"/>
    <s v="шт."/>
    <s v="нед."/>
    <s v="Банк"/>
    <m/>
    <x v="0"/>
    <m/>
  </r>
  <r>
    <x v="23"/>
    <n v="733"/>
    <x v="1"/>
    <x v="1"/>
    <x v="0"/>
    <s v="шт."/>
    <s v="нед."/>
    <s v="Банк"/>
    <m/>
    <x v="0"/>
    <m/>
  </r>
  <r>
    <x v="24"/>
    <n v="659"/>
    <x v="1"/>
    <x v="1"/>
    <x v="0"/>
    <s v="шт."/>
    <s v="нед."/>
    <s v="Банк"/>
    <m/>
    <x v="0"/>
    <m/>
  </r>
  <r>
    <x v="25"/>
    <n v="609"/>
    <x v="1"/>
    <x v="1"/>
    <x v="0"/>
    <s v="шт."/>
    <s v="нед."/>
    <s v="Банк"/>
    <m/>
    <x v="0"/>
    <m/>
  </r>
  <r>
    <x v="26"/>
    <n v="650"/>
    <x v="1"/>
    <x v="1"/>
    <x v="0"/>
    <s v="шт."/>
    <s v="нед."/>
    <s v="Банк"/>
    <m/>
    <x v="0"/>
    <m/>
  </r>
  <r>
    <x v="27"/>
    <n v="688"/>
    <x v="1"/>
    <x v="1"/>
    <x v="0"/>
    <s v="шт."/>
    <s v="нед."/>
    <s v="Банк"/>
    <m/>
    <x v="0"/>
    <m/>
  </r>
  <r>
    <x v="28"/>
    <n v="651"/>
    <x v="1"/>
    <x v="1"/>
    <x v="0"/>
    <s v="шт."/>
    <s v="нед."/>
    <s v="Банк"/>
    <m/>
    <x v="0"/>
    <m/>
  </r>
  <r>
    <x v="29"/>
    <n v="574"/>
    <x v="1"/>
    <x v="1"/>
    <x v="0"/>
    <s v="шт."/>
    <s v="нед."/>
    <s v="Банк"/>
    <m/>
    <x v="0"/>
    <m/>
  </r>
  <r>
    <x v="30"/>
    <n v="635"/>
    <x v="1"/>
    <x v="1"/>
    <x v="0"/>
    <s v="шт."/>
    <s v="нед."/>
    <s v="Банк"/>
    <m/>
    <x v="0"/>
    <m/>
  </r>
  <r>
    <x v="0"/>
    <n v="621"/>
    <x v="2"/>
    <x v="2"/>
    <x v="0"/>
    <s v="чел."/>
    <s v="нед."/>
    <s v="Банк"/>
    <m/>
    <x v="0"/>
    <m/>
  </r>
  <r>
    <x v="1"/>
    <n v="646"/>
    <x v="2"/>
    <x v="2"/>
    <x v="0"/>
    <s v="чел."/>
    <s v="нед."/>
    <s v="Банк"/>
    <m/>
    <x v="0"/>
    <m/>
  </r>
  <r>
    <x v="2"/>
    <n v="599"/>
    <x v="2"/>
    <x v="2"/>
    <x v="0"/>
    <s v="чел."/>
    <s v="нед."/>
    <s v="Банк"/>
    <m/>
    <x v="0"/>
    <m/>
  </r>
  <r>
    <x v="3"/>
    <n v="611"/>
    <x v="2"/>
    <x v="2"/>
    <x v="0"/>
    <s v="чел."/>
    <s v="нед."/>
    <s v="Банк"/>
    <m/>
    <x v="0"/>
    <m/>
  </r>
  <r>
    <x v="4"/>
    <n v="587"/>
    <x v="2"/>
    <x v="2"/>
    <x v="0"/>
    <s v="чел."/>
    <s v="нед."/>
    <s v="Банк"/>
    <m/>
    <x v="0"/>
    <m/>
  </r>
  <r>
    <x v="5"/>
    <n v="612"/>
    <x v="2"/>
    <x v="2"/>
    <x v="0"/>
    <s v="чел."/>
    <s v="нед."/>
    <s v="Банк"/>
    <m/>
    <x v="0"/>
    <m/>
  </r>
  <r>
    <x v="6"/>
    <n v="504"/>
    <x v="2"/>
    <x v="2"/>
    <x v="0"/>
    <s v="чел."/>
    <s v="нед."/>
    <s v="Банк"/>
    <m/>
    <x v="0"/>
    <m/>
  </r>
  <r>
    <x v="7"/>
    <n v="541"/>
    <x v="2"/>
    <x v="2"/>
    <x v="0"/>
    <s v="чел."/>
    <s v="нед."/>
    <s v="Банк"/>
    <m/>
    <x v="0"/>
    <m/>
  </r>
  <r>
    <x v="8"/>
    <n v="551"/>
    <x v="2"/>
    <x v="2"/>
    <x v="0"/>
    <s v="чел."/>
    <s v="нед."/>
    <s v="Банк"/>
    <m/>
    <x v="0"/>
    <m/>
  </r>
  <r>
    <x v="9"/>
    <n v="597"/>
    <x v="2"/>
    <x v="2"/>
    <x v="0"/>
    <s v="чел."/>
    <s v="нед."/>
    <s v="Банк"/>
    <m/>
    <x v="0"/>
    <m/>
  </r>
  <r>
    <x v="10"/>
    <n v="652"/>
    <x v="2"/>
    <x v="2"/>
    <x v="0"/>
    <s v="чел."/>
    <s v="нед."/>
    <s v="Банк"/>
    <m/>
    <x v="0"/>
    <m/>
  </r>
  <r>
    <x v="11"/>
    <n v="602"/>
    <x v="2"/>
    <x v="2"/>
    <x v="0"/>
    <s v="чел."/>
    <s v="нед."/>
    <s v="Банк"/>
    <m/>
    <x v="0"/>
    <m/>
  </r>
  <r>
    <x v="12"/>
    <n v="586"/>
    <x v="2"/>
    <x v="2"/>
    <x v="0"/>
    <s v="чел."/>
    <s v="нед."/>
    <s v="Банк"/>
    <m/>
    <x v="0"/>
    <m/>
  </r>
  <r>
    <x v="13"/>
    <n v="639"/>
    <x v="2"/>
    <x v="2"/>
    <x v="0"/>
    <s v="чел."/>
    <s v="нед."/>
    <s v="Банк"/>
    <m/>
    <x v="0"/>
    <m/>
  </r>
  <r>
    <x v="14"/>
    <n v="648"/>
    <x v="2"/>
    <x v="2"/>
    <x v="0"/>
    <s v="чел."/>
    <s v="нед."/>
    <s v="Банк"/>
    <m/>
    <x v="0"/>
    <m/>
  </r>
  <r>
    <x v="15"/>
    <n v="998"/>
    <x v="2"/>
    <x v="2"/>
    <x v="0"/>
    <s v="чел."/>
    <s v="нед."/>
    <s v="Банк"/>
    <m/>
    <x v="0"/>
    <m/>
  </r>
  <r>
    <x v="16"/>
    <n v="1605"/>
    <x v="2"/>
    <x v="2"/>
    <x v="0"/>
    <s v="чел."/>
    <s v="нед."/>
    <s v="Банк"/>
    <m/>
    <x v="0"/>
    <m/>
  </r>
  <r>
    <x v="17"/>
    <n v="1628"/>
    <x v="2"/>
    <x v="2"/>
    <x v="0"/>
    <s v="чел."/>
    <s v="нед."/>
    <s v="Банк"/>
    <m/>
    <x v="0"/>
    <m/>
  </r>
  <r>
    <x v="18"/>
    <n v="1496"/>
    <x v="2"/>
    <x v="2"/>
    <x v="0"/>
    <s v="чел."/>
    <s v="нед."/>
    <s v="Банк"/>
    <m/>
    <x v="0"/>
    <m/>
  </r>
  <r>
    <x v="19"/>
    <n v="1279"/>
    <x v="2"/>
    <x v="2"/>
    <x v="0"/>
    <s v="чел."/>
    <s v="нед."/>
    <s v="Банк"/>
    <m/>
    <x v="0"/>
    <m/>
  </r>
  <r>
    <x v="20"/>
    <n v="1309"/>
    <x v="2"/>
    <x v="2"/>
    <x v="0"/>
    <s v="чел."/>
    <s v="нед."/>
    <s v="Банк"/>
    <m/>
    <x v="0"/>
    <m/>
  </r>
  <r>
    <x v="21"/>
    <n v="1071"/>
    <x v="2"/>
    <x v="2"/>
    <x v="0"/>
    <s v="чел."/>
    <s v="нед."/>
    <s v="Банк"/>
    <m/>
    <x v="0"/>
    <m/>
  </r>
  <r>
    <x v="22"/>
    <n v="1123"/>
    <x v="2"/>
    <x v="2"/>
    <x v="0"/>
    <s v="чел."/>
    <s v="нед."/>
    <s v="Банк"/>
    <m/>
    <x v="0"/>
    <m/>
  </r>
  <r>
    <x v="23"/>
    <n v="1037"/>
    <x v="2"/>
    <x v="2"/>
    <x v="0"/>
    <s v="чел."/>
    <s v="нед."/>
    <s v="Банк"/>
    <m/>
    <x v="0"/>
    <m/>
  </r>
  <r>
    <x v="24"/>
    <n v="872"/>
    <x v="2"/>
    <x v="2"/>
    <x v="0"/>
    <s v="чел."/>
    <s v="нед."/>
    <s v="Банк"/>
    <m/>
    <x v="0"/>
    <m/>
  </r>
  <r>
    <x v="25"/>
    <n v="790"/>
    <x v="2"/>
    <x v="2"/>
    <x v="0"/>
    <s v="чел."/>
    <s v="нед."/>
    <s v="Банк"/>
    <m/>
    <x v="0"/>
    <m/>
  </r>
  <r>
    <x v="26"/>
    <n v="943"/>
    <x v="2"/>
    <x v="2"/>
    <x v="0"/>
    <s v="чел."/>
    <s v="нед."/>
    <s v="Банк"/>
    <m/>
    <x v="0"/>
    <m/>
  </r>
  <r>
    <x v="27"/>
    <n v="993"/>
    <x v="2"/>
    <x v="2"/>
    <x v="0"/>
    <s v="чел."/>
    <s v="нед."/>
    <s v="Банк"/>
    <m/>
    <x v="0"/>
    <m/>
  </r>
  <r>
    <x v="28"/>
    <n v="955"/>
    <x v="2"/>
    <x v="2"/>
    <x v="0"/>
    <s v="чел."/>
    <s v="нед."/>
    <s v="Банк"/>
    <m/>
    <x v="0"/>
    <m/>
  </r>
  <r>
    <x v="29"/>
    <n v="728"/>
    <x v="2"/>
    <x v="2"/>
    <x v="0"/>
    <s v="чел."/>
    <s v="нед."/>
    <s v="Банк"/>
    <m/>
    <x v="0"/>
    <m/>
  </r>
  <r>
    <x v="30"/>
    <n v="893"/>
    <x v="2"/>
    <x v="2"/>
    <x v="0"/>
    <s v="чел."/>
    <s v="нед."/>
    <s v="Банк"/>
    <m/>
    <x v="0"/>
    <m/>
  </r>
  <r>
    <x v="0"/>
    <n v="2.2157953281423803"/>
    <x v="3"/>
    <x v="3"/>
    <x v="0"/>
    <s v="повтор."/>
    <s v="нед."/>
    <s v="Банк"/>
    <m/>
    <x v="0"/>
    <m/>
  </r>
  <r>
    <x v="1"/>
    <n v="2.360790774299835"/>
    <x v="3"/>
    <x v="3"/>
    <x v="0"/>
    <s v="повтор."/>
    <s v="нед."/>
    <s v="Банк"/>
    <m/>
    <x v="0"/>
    <m/>
  </r>
  <r>
    <x v="2"/>
    <n v="2.5322230267921797"/>
    <x v="3"/>
    <x v="3"/>
    <x v="0"/>
    <s v="повтор."/>
    <s v="нед."/>
    <s v="Банк"/>
    <m/>
    <x v="0"/>
    <m/>
  </r>
  <r>
    <x v="3"/>
    <n v="2.6192821956368753"/>
    <x v="3"/>
    <x v="3"/>
    <x v="0"/>
    <s v="повтор."/>
    <s v="нед."/>
    <s v="Банк"/>
    <m/>
    <x v="0"/>
    <m/>
  </r>
  <r>
    <x v="4"/>
    <n v="2.732147477360931"/>
    <x v="3"/>
    <x v="3"/>
    <x v="0"/>
    <s v="повтор."/>
    <s v="нед."/>
    <s v="Банк"/>
    <m/>
    <x v="0"/>
    <m/>
  </r>
  <r>
    <x v="5"/>
    <n v="2.7244967880085653"/>
    <x v="3"/>
    <x v="3"/>
    <x v="0"/>
    <s v="повтор."/>
    <s v="нед."/>
    <s v="Банк"/>
    <m/>
    <x v="0"/>
    <m/>
  </r>
  <r>
    <x v="6"/>
    <n v="2.719152542372881"/>
    <x v="3"/>
    <x v="3"/>
    <x v="0"/>
    <s v="повтор."/>
    <s v="нед."/>
    <s v="Банк"/>
    <m/>
    <x v="0"/>
    <m/>
  </r>
  <r>
    <x v="7"/>
    <n v="2.9485117691723617"/>
    <x v="3"/>
    <x v="3"/>
    <x v="0"/>
    <s v="повтор."/>
    <s v="нед."/>
    <s v="Банк"/>
    <m/>
    <x v="0"/>
    <m/>
  </r>
  <r>
    <x v="8"/>
    <n v="2.948323983169705"/>
    <x v="3"/>
    <x v="3"/>
    <x v="0"/>
    <s v="повтор."/>
    <s v="нед."/>
    <s v="Банк"/>
    <m/>
    <x v="0"/>
    <m/>
  </r>
  <r>
    <x v="9"/>
    <n v="3.209737827715356"/>
    <x v="3"/>
    <x v="3"/>
    <x v="0"/>
    <s v="повтор."/>
    <s v="нед."/>
    <s v="Банк"/>
    <m/>
    <x v="0"/>
    <m/>
  </r>
  <r>
    <x v="10"/>
    <n v="2.4809130645944637"/>
    <x v="3"/>
    <x v="3"/>
    <x v="0"/>
    <s v="повтор."/>
    <s v="нед."/>
    <s v="Банк"/>
    <m/>
    <x v="0"/>
    <m/>
  </r>
  <r>
    <x v="11"/>
    <n v="3.222997601918465"/>
    <x v="3"/>
    <x v="3"/>
    <x v="0"/>
    <s v="повтор."/>
    <s v="нед."/>
    <s v="Банк"/>
    <m/>
    <x v="0"/>
    <m/>
  </r>
  <r>
    <x v="12"/>
    <n v="3.189367710251688"/>
    <x v="3"/>
    <x v="3"/>
    <x v="0"/>
    <s v="повтор."/>
    <s v="нед."/>
    <s v="Банк"/>
    <m/>
    <x v="0"/>
    <m/>
  </r>
  <r>
    <x v="13"/>
    <n v="3.449264705882353"/>
    <x v="3"/>
    <x v="3"/>
    <x v="0"/>
    <s v="повтор."/>
    <s v="нед."/>
    <s v="Банк"/>
    <m/>
    <x v="0"/>
    <m/>
  </r>
  <r>
    <x v="14"/>
    <n v="3.247200689061154"/>
    <x v="3"/>
    <x v="3"/>
    <x v="0"/>
    <s v="повтор."/>
    <s v="нед."/>
    <s v="Банк"/>
    <m/>
    <x v="0"/>
    <m/>
  </r>
  <r>
    <x v="15"/>
    <n v="2.9541432019308127"/>
    <x v="3"/>
    <x v="3"/>
    <x v="0"/>
    <s v="повтор."/>
    <s v="нед."/>
    <s v="Банк"/>
    <m/>
    <x v="0"/>
    <m/>
  </r>
  <r>
    <x v="16"/>
    <n v="3.001651527663088"/>
    <x v="3"/>
    <x v="3"/>
    <x v="0"/>
    <s v="повтор."/>
    <s v="нед."/>
    <s v="Банк"/>
    <m/>
    <x v="0"/>
    <m/>
  </r>
  <r>
    <x v="17"/>
    <n v="3.319277108433735"/>
    <x v="3"/>
    <x v="3"/>
    <x v="0"/>
    <s v="повтор."/>
    <s v="нед."/>
    <s v="Банк"/>
    <m/>
    <x v="0"/>
    <m/>
  </r>
  <r>
    <x v="18"/>
    <n v="2.783469945355191"/>
    <x v="3"/>
    <x v="3"/>
    <x v="0"/>
    <s v="повтор."/>
    <s v="нед."/>
    <s v="Банк"/>
    <m/>
    <x v="0"/>
    <m/>
  </r>
  <r>
    <x v="19"/>
    <n v="2.831046931407942"/>
    <x v="3"/>
    <x v="3"/>
    <x v="0"/>
    <s v="повтор."/>
    <s v="нед."/>
    <s v="Банк"/>
    <m/>
    <x v="0"/>
    <m/>
  </r>
  <r>
    <x v="20"/>
    <n v="3.0996835443037973"/>
    <x v="3"/>
    <x v="3"/>
    <x v="0"/>
    <s v="повтор."/>
    <s v="нед."/>
    <s v="Банк"/>
    <m/>
    <x v="0"/>
    <m/>
  </r>
  <r>
    <x v="21"/>
    <n v="3.668823058446757"/>
    <x v="3"/>
    <x v="3"/>
    <x v="0"/>
    <s v="повтор."/>
    <s v="нед."/>
    <s v="Банк"/>
    <m/>
    <x v="0"/>
    <m/>
  </r>
  <r>
    <x v="22"/>
    <n v="3.883167752442997"/>
    <x v="3"/>
    <x v="3"/>
    <x v="0"/>
    <s v="повтор."/>
    <s v="нед."/>
    <s v="Банк"/>
    <m/>
    <x v="0"/>
    <m/>
  </r>
  <r>
    <x v="23"/>
    <n v="3.9102680965147454"/>
    <x v="3"/>
    <x v="3"/>
    <x v="0"/>
    <s v="повтор."/>
    <s v="нед."/>
    <s v="Банк"/>
    <m/>
    <x v="0"/>
    <m/>
  </r>
  <r>
    <x v="24"/>
    <n v="3.9313346228239845"/>
    <x v="3"/>
    <x v="3"/>
    <x v="0"/>
    <s v="повтор."/>
    <s v="нед."/>
    <s v="Банк"/>
    <m/>
    <x v="0"/>
    <m/>
  </r>
  <r>
    <x v="25"/>
    <n v="4.003108808290156"/>
    <x v="3"/>
    <x v="3"/>
    <x v="0"/>
    <s v="повтор."/>
    <s v="нед."/>
    <s v="Банк"/>
    <m/>
    <x v="0"/>
    <m/>
  </r>
  <r>
    <x v="26"/>
    <n v="4.247535596933187"/>
    <x v="3"/>
    <x v="3"/>
    <x v="0"/>
    <s v="повтор."/>
    <s v="нед."/>
    <s v="Банк"/>
    <m/>
    <x v="0"/>
    <m/>
  </r>
  <r>
    <x v="27"/>
    <n v="3.732408325074331"/>
    <x v="3"/>
    <x v="3"/>
    <x v="0"/>
    <s v="повтор."/>
    <s v="нед."/>
    <s v="Банк"/>
    <m/>
    <x v="0"/>
    <m/>
  </r>
  <r>
    <x v="28"/>
    <n v="4.277475516866159"/>
    <x v="3"/>
    <x v="3"/>
    <x v="0"/>
    <s v="повтор."/>
    <s v="нед."/>
    <s v="Банк"/>
    <m/>
    <x v="0"/>
    <m/>
  </r>
  <r>
    <x v="29"/>
    <n v="4.233970753655793"/>
    <x v="3"/>
    <x v="3"/>
    <x v="0"/>
    <s v="повтор."/>
    <s v="нед."/>
    <s v="Банк"/>
    <m/>
    <x v="0"/>
    <m/>
  </r>
  <r>
    <x v="30"/>
    <n v="3.6800748362956033"/>
    <x v="3"/>
    <x v="3"/>
    <x v="0"/>
    <s v="повтор."/>
    <s v="нед."/>
    <s v="Банк"/>
    <m/>
    <x v="0"/>
    <m/>
  </r>
  <r>
    <x v="0"/>
    <n v="3.138214017355944"/>
    <x v="4"/>
    <x v="4"/>
    <x v="0"/>
    <s v="%"/>
    <s v="нед."/>
    <s v="Банк"/>
    <m/>
    <x v="0"/>
    <m/>
  </r>
  <r>
    <x v="1"/>
    <n v="3.27562276280225"/>
    <x v="4"/>
    <x v="4"/>
    <x v="0"/>
    <s v="%"/>
    <s v="нед."/>
    <s v="Банк"/>
    <m/>
    <x v="0"/>
    <m/>
  </r>
  <r>
    <x v="2"/>
    <n v="2.7303653741366363"/>
    <x v="4"/>
    <x v="4"/>
    <x v="0"/>
    <s v="%"/>
    <s v="нед."/>
    <s v="Банк"/>
    <m/>
    <x v="0"/>
    <m/>
  </r>
  <r>
    <x v="3"/>
    <n v="2.7194532132410436"/>
    <x v="4"/>
    <x v="4"/>
    <x v="0"/>
    <s v="%"/>
    <s v="нед."/>
    <s v="Банк"/>
    <m/>
    <x v="0"/>
    <m/>
  </r>
  <r>
    <x v="4"/>
    <n v="3.289206959158132"/>
    <x v="4"/>
    <x v="4"/>
    <x v="0"/>
    <s v="%"/>
    <s v="нед."/>
    <s v="Банк"/>
    <m/>
    <x v="0"/>
    <m/>
  </r>
  <r>
    <x v="5"/>
    <n v="2.981691368788143"/>
    <x v="4"/>
    <x v="4"/>
    <x v="0"/>
    <s v="%"/>
    <s v="нед."/>
    <s v="Банк"/>
    <m/>
    <x v="0"/>
    <m/>
  </r>
  <r>
    <x v="6"/>
    <n v="2.840041637751561"/>
    <x v="4"/>
    <x v="4"/>
    <x v="0"/>
    <s v="%"/>
    <s v="нед."/>
    <s v="Банк"/>
    <m/>
    <x v="0"/>
    <m/>
  </r>
  <r>
    <x v="7"/>
    <n v="2.773368683609217"/>
    <x v="4"/>
    <x v="4"/>
    <x v="0"/>
    <s v="%"/>
    <s v="нед."/>
    <s v="Банк"/>
    <m/>
    <x v="0"/>
    <m/>
  </r>
  <r>
    <x v="8"/>
    <n v="2.9374268699463855"/>
    <x v="4"/>
    <x v="4"/>
    <x v="0"/>
    <s v="%"/>
    <s v="нед."/>
    <s v="Банк"/>
    <m/>
    <x v="0"/>
    <m/>
  </r>
  <r>
    <x v="9"/>
    <n v="3.132497220542628"/>
    <x v="4"/>
    <x v="4"/>
    <x v="0"/>
    <s v="%"/>
    <s v="нед."/>
    <s v="Банк"/>
    <m/>
    <x v="0"/>
    <m/>
  </r>
  <r>
    <x v="10"/>
    <n v="3.4090909090909087"/>
    <x v="4"/>
    <x v="4"/>
    <x v="0"/>
    <s v="%"/>
    <s v="нед."/>
    <s v="Банк"/>
    <m/>
    <x v="0"/>
    <m/>
  </r>
  <r>
    <x v="11"/>
    <n v="2.9072490923995784"/>
    <x v="4"/>
    <x v="4"/>
    <x v="0"/>
    <s v="%"/>
    <s v="нед."/>
    <s v="Банк"/>
    <m/>
    <x v="0"/>
    <m/>
  </r>
  <r>
    <x v="12"/>
    <n v="2.837806095484174"/>
    <x v="4"/>
    <x v="4"/>
    <x v="0"/>
    <s v="%"/>
    <s v="нед."/>
    <s v="Банк"/>
    <m/>
    <x v="0"/>
    <m/>
  </r>
  <r>
    <x v="13"/>
    <n v="2.5038417617120867"/>
    <x v="4"/>
    <x v="4"/>
    <x v="0"/>
    <s v="%"/>
    <s v="нед."/>
    <s v="Банк"/>
    <m/>
    <x v="0"/>
    <m/>
  </r>
  <r>
    <x v="14"/>
    <n v="2.2068492367503287"/>
    <x v="4"/>
    <x v="4"/>
    <x v="0"/>
    <s v="%"/>
    <s v="нед."/>
    <s v="Банк"/>
    <m/>
    <x v="0"/>
    <m/>
  </r>
  <r>
    <x v="15"/>
    <n v="2.131852382658545"/>
    <x v="4"/>
    <x v="4"/>
    <x v="0"/>
    <s v="%"/>
    <s v="нед."/>
    <s v="Банк"/>
    <m/>
    <x v="0"/>
    <m/>
  </r>
  <r>
    <x v="16"/>
    <n v="4.0936533647474596"/>
    <x v="4"/>
    <x v="4"/>
    <x v="0"/>
    <s v="%"/>
    <s v="нед."/>
    <s v="Банк"/>
    <m/>
    <x v="0"/>
    <m/>
  </r>
  <r>
    <x v="17"/>
    <n v="4.189703378250542"/>
    <x v="4"/>
    <x v="4"/>
    <x v="0"/>
    <s v="%"/>
    <s v="нед."/>
    <s v="Банк"/>
    <m/>
    <x v="0"/>
    <m/>
  </r>
  <r>
    <x v="18"/>
    <n v="4.361491333955861"/>
    <x v="4"/>
    <x v="4"/>
    <x v="0"/>
    <s v="%"/>
    <s v="нед."/>
    <s v="Банк"/>
    <m/>
    <x v="0"/>
    <m/>
  </r>
  <r>
    <x v="19"/>
    <n v="3.892506765899865"/>
    <x v="4"/>
    <x v="4"/>
    <x v="0"/>
    <s v="%"/>
    <s v="нед."/>
    <s v="Банк"/>
    <m/>
    <x v="0"/>
    <m/>
  </r>
  <r>
    <x v="20"/>
    <n v="3.5422054521558484"/>
    <x v="4"/>
    <x v="4"/>
    <x v="0"/>
    <s v="%"/>
    <s v="нед."/>
    <s v="Банк"/>
    <m/>
    <x v="0"/>
    <m/>
  </r>
  <r>
    <x v="21"/>
    <n v="3.297026788342655"/>
    <x v="4"/>
    <x v="4"/>
    <x v="0"/>
    <s v="%"/>
    <s v="нед."/>
    <s v="Банк"/>
    <m/>
    <x v="0"/>
    <m/>
  </r>
  <r>
    <x v="22"/>
    <n v="3.2176443301142834"/>
    <x v="4"/>
    <x v="4"/>
    <x v="0"/>
    <s v="%"/>
    <s v="нед."/>
    <s v="Банк"/>
    <m/>
    <x v="0"/>
    <m/>
  </r>
  <r>
    <x v="23"/>
    <n v="2.8854518065898627"/>
    <x v="4"/>
    <x v="4"/>
    <x v="0"/>
    <s v="%"/>
    <s v="нед."/>
    <s v="Банк"/>
    <m/>
    <x v="0"/>
    <m/>
  </r>
  <r>
    <x v="24"/>
    <n v="2.7814288742845026"/>
    <x v="4"/>
    <x v="4"/>
    <x v="0"/>
    <s v="%"/>
    <s v="нед."/>
    <s v="Банк"/>
    <m/>
    <x v="0"/>
    <m/>
  </r>
  <r>
    <x v="25"/>
    <n v="2.7144914034047596"/>
    <x v="4"/>
    <x v="4"/>
    <x v="0"/>
    <s v="%"/>
    <s v="нед."/>
    <s v="Банк"/>
    <m/>
    <x v="0"/>
    <m/>
  </r>
  <r>
    <x v="26"/>
    <n v="2.5699490698318663"/>
    <x v="4"/>
    <x v="4"/>
    <x v="0"/>
    <s v="%"/>
    <s v="нед."/>
    <s v="Банк"/>
    <m/>
    <x v="0"/>
    <m/>
  </r>
  <r>
    <x v="27"/>
    <n v="2.897968674036653"/>
    <x v="4"/>
    <x v="4"/>
    <x v="0"/>
    <s v="%"/>
    <s v="нед."/>
    <s v="Банк"/>
    <m/>
    <x v="0"/>
    <m/>
  </r>
  <r>
    <x v="28"/>
    <n v="2.687156232942856"/>
    <x v="4"/>
    <x v="4"/>
    <x v="0"/>
    <s v="%"/>
    <s v="нед."/>
    <s v="Банк"/>
    <m/>
    <x v="0"/>
    <m/>
  </r>
  <r>
    <x v="29"/>
    <n v="2.534100731558198"/>
    <x v="4"/>
    <x v="4"/>
    <x v="0"/>
    <s v="%"/>
    <s v="нед."/>
    <s v="Банк"/>
    <m/>
    <x v="0"/>
    <m/>
  </r>
  <r>
    <x v="30"/>
    <n v="2.975447797491911"/>
    <x v="4"/>
    <x v="4"/>
    <x v="0"/>
    <s v="%"/>
    <s v="нед."/>
    <s v="Банк"/>
    <m/>
    <x v="0"/>
    <m/>
  </r>
  <r>
    <x v="0"/>
    <n v="20.52401746724891"/>
    <x v="5"/>
    <x v="5"/>
    <x v="1"/>
    <s v="%"/>
    <s v="нед."/>
    <s v="Банк"/>
    <m/>
    <x v="1"/>
    <m/>
  </r>
  <r>
    <x v="1"/>
    <n v="22.194513715710723"/>
    <x v="5"/>
    <x v="5"/>
    <x v="1"/>
    <s v="%"/>
    <s v="нед."/>
    <s v="Банк"/>
    <m/>
    <x v="1"/>
    <m/>
  </r>
  <r>
    <x v="2"/>
    <n v="22.86647611269906"/>
    <x v="5"/>
    <x v="5"/>
    <x v="1"/>
    <s v="%"/>
    <s v="нед."/>
    <s v="Банк"/>
    <m/>
    <x v="1"/>
    <m/>
  </r>
  <r>
    <x v="3"/>
    <n v="19.373454245671887"/>
    <x v="5"/>
    <x v="5"/>
    <x v="1"/>
    <s v="%"/>
    <s v="нед."/>
    <s v="Банк"/>
    <m/>
    <x v="1"/>
    <m/>
  </r>
  <r>
    <x v="4"/>
    <n v="20.268620268620268"/>
    <x v="5"/>
    <x v="5"/>
    <x v="1"/>
    <s v="%"/>
    <s v="нед."/>
    <s v="Банк"/>
    <m/>
    <x v="1"/>
    <m/>
  </r>
  <r>
    <x v="5"/>
    <n v="20.718232044198896"/>
    <x v="5"/>
    <x v="5"/>
    <x v="1"/>
    <s v="%"/>
    <s v="нед."/>
    <s v="Банк"/>
    <m/>
    <x v="1"/>
    <m/>
  </r>
  <r>
    <x v="6"/>
    <n v="18.128654970760234"/>
    <x v="5"/>
    <x v="5"/>
    <x v="1"/>
    <s v="%"/>
    <s v="нед."/>
    <s v="Банк"/>
    <m/>
    <x v="1"/>
    <m/>
  </r>
  <r>
    <x v="7"/>
    <n v="19.519752130131682"/>
    <x v="5"/>
    <x v="5"/>
    <x v="1"/>
    <s v="%"/>
    <s v="нед."/>
    <s v="Банк"/>
    <m/>
    <x v="1"/>
    <m/>
  </r>
  <r>
    <x v="8"/>
    <n v="19.357462383082556"/>
    <x v="5"/>
    <x v="5"/>
    <x v="1"/>
    <s v="%"/>
    <s v="нед."/>
    <s v="Банк"/>
    <m/>
    <x v="1"/>
    <m/>
  </r>
  <r>
    <x v="9"/>
    <n v="20.06565449322938"/>
    <x v="5"/>
    <x v="5"/>
    <x v="1"/>
    <s v="%"/>
    <s v="нед."/>
    <s v="Банк"/>
    <m/>
    <x v="1"/>
    <m/>
  </r>
  <r>
    <x v="10"/>
    <n v="20.471333098839253"/>
    <x v="5"/>
    <x v="5"/>
    <x v="1"/>
    <s v="%"/>
    <s v="нед."/>
    <s v="Банк"/>
    <m/>
    <x v="1"/>
    <m/>
  </r>
  <r>
    <x v="11"/>
    <n v="21.08057464084947"/>
    <x v="5"/>
    <x v="5"/>
    <x v="1"/>
    <s v="%"/>
    <s v="нед."/>
    <s v="Банк"/>
    <m/>
    <x v="1"/>
    <m/>
  </r>
  <r>
    <x v="12"/>
    <n v="20.75530586766542"/>
    <x v="5"/>
    <x v="5"/>
    <x v="1"/>
    <s v="%"/>
    <s v="нед."/>
    <s v="Банк"/>
    <m/>
    <x v="1"/>
    <m/>
  </r>
  <r>
    <x v="13"/>
    <n v="19.808108944599194"/>
    <x v="5"/>
    <x v="5"/>
    <x v="1"/>
    <s v="%"/>
    <s v="нед."/>
    <s v="Банк"/>
    <m/>
    <x v="1"/>
    <m/>
  </r>
  <r>
    <x v="14"/>
    <n v="20.744356314826113"/>
    <x v="5"/>
    <x v="5"/>
    <x v="1"/>
    <s v="%"/>
    <s v="нед."/>
    <s v="Банк"/>
    <m/>
    <x v="1"/>
    <m/>
  </r>
  <r>
    <x v="15"/>
    <n v="22.07298530157121"/>
    <x v="5"/>
    <x v="5"/>
    <x v="1"/>
    <s v="%"/>
    <s v="нед."/>
    <s v="Банк"/>
    <m/>
    <x v="1"/>
    <m/>
  </r>
  <r>
    <x v="16"/>
    <n v="25.235032162295894"/>
    <x v="5"/>
    <x v="5"/>
    <x v="1"/>
    <s v="%"/>
    <s v="нед."/>
    <s v="Банк"/>
    <m/>
    <x v="1"/>
    <m/>
  </r>
  <r>
    <x v="17"/>
    <n v="24.383983572895275"/>
    <x v="5"/>
    <x v="5"/>
    <x v="1"/>
    <s v="%"/>
    <s v="нед."/>
    <s v="Банк"/>
    <m/>
    <x v="1"/>
    <m/>
  </r>
  <r>
    <x v="18"/>
    <n v="25.442604226156483"/>
    <x v="5"/>
    <x v="5"/>
    <x v="1"/>
    <s v="%"/>
    <s v="нед."/>
    <s v="Банк"/>
    <m/>
    <x v="1"/>
    <m/>
  </r>
  <r>
    <x v="19"/>
    <n v="23.200428150923198"/>
    <x v="5"/>
    <x v="5"/>
    <x v="1"/>
    <s v="%"/>
    <s v="нед."/>
    <s v="Банк"/>
    <m/>
    <x v="1"/>
    <m/>
  </r>
  <r>
    <x v="20"/>
    <n v="21.669980119284293"/>
    <x v="5"/>
    <x v="5"/>
    <x v="1"/>
    <s v="%"/>
    <s v="нед."/>
    <s v="Банк"/>
    <m/>
    <x v="1"/>
    <m/>
  </r>
  <r>
    <x v="21"/>
    <n v="17.8168130489335"/>
    <x v="5"/>
    <x v="5"/>
    <x v="1"/>
    <s v="%"/>
    <s v="нед."/>
    <s v="Банк"/>
    <m/>
    <x v="1"/>
    <m/>
  </r>
  <r>
    <x v="22"/>
    <n v="16.821724918280108"/>
    <x v="5"/>
    <x v="5"/>
    <x v="1"/>
    <s v="%"/>
    <s v="нед."/>
    <s v="Банк"/>
    <m/>
    <x v="1"/>
    <m/>
  </r>
  <r>
    <x v="23"/>
    <n v="16.290726817042607"/>
    <x v="5"/>
    <x v="5"/>
    <x v="1"/>
    <s v="%"/>
    <s v="нед."/>
    <s v="Банк"/>
    <m/>
    <x v="1"/>
    <m/>
  </r>
  <r>
    <x v="24"/>
    <n v="15.588578088578089"/>
    <x v="5"/>
    <x v="5"/>
    <x v="1"/>
    <s v="%"/>
    <s v="нед."/>
    <s v="Банк"/>
    <m/>
    <x v="1"/>
    <m/>
  </r>
  <r>
    <x v="25"/>
    <n v="16.594332397242788"/>
    <x v="5"/>
    <x v="5"/>
    <x v="1"/>
    <s v="%"/>
    <s v="нед."/>
    <s v="Банк"/>
    <m/>
    <x v="1"/>
    <m/>
  </r>
  <r>
    <x v="26"/>
    <n v="15.408986175115208"/>
    <x v="5"/>
    <x v="5"/>
    <x v="1"/>
    <s v="%"/>
    <s v="нед."/>
    <s v="Банк"/>
    <m/>
    <x v="1"/>
    <m/>
  </r>
  <r>
    <x v="27"/>
    <n v="18.10850439882698"/>
    <x v="5"/>
    <x v="5"/>
    <x v="1"/>
    <s v="%"/>
    <s v="нед."/>
    <s v="Банк"/>
    <m/>
    <x v="1"/>
    <m/>
  </r>
  <r>
    <x v="28"/>
    <n v="16.980670418399804"/>
    <x v="5"/>
    <x v="5"/>
    <x v="1"/>
    <s v="%"/>
    <s v="нед."/>
    <s v="Банк"/>
    <m/>
    <x v="1"/>
    <m/>
  </r>
  <r>
    <x v="29"/>
    <n v="16.165598817151306"/>
    <x v="5"/>
    <x v="5"/>
    <x v="1"/>
    <s v="%"/>
    <s v="нед."/>
    <s v="Банк"/>
    <m/>
    <x v="1"/>
    <m/>
  </r>
  <r>
    <x v="30"/>
    <n v="15.4840344652813"/>
    <x v="5"/>
    <x v="5"/>
    <x v="1"/>
    <s v="%"/>
    <s v="нед."/>
    <s v="Банк"/>
    <m/>
    <x v="1"/>
    <m/>
  </r>
  <r>
    <x v="0"/>
    <n v="223"/>
    <x v="6"/>
    <x v="6"/>
    <x v="1"/>
    <s v="чел."/>
    <s v="нед."/>
    <s v="Банк"/>
    <m/>
    <x v="1"/>
    <m/>
  </r>
  <r>
    <x v="1"/>
    <n v="279"/>
    <x v="6"/>
    <x v="6"/>
    <x v="1"/>
    <s v="чел."/>
    <s v="нед."/>
    <s v="Банк"/>
    <m/>
    <x v="1"/>
    <m/>
  </r>
  <r>
    <x v="2"/>
    <n v="183"/>
    <x v="6"/>
    <x v="6"/>
    <x v="1"/>
    <s v="чел."/>
    <s v="нед."/>
    <s v="Банк"/>
    <m/>
    <x v="1"/>
    <m/>
  </r>
  <r>
    <x v="3"/>
    <n v="324"/>
    <x v="6"/>
    <x v="6"/>
    <x v="1"/>
    <s v="чел."/>
    <s v="нед."/>
    <s v="Банк"/>
    <m/>
    <x v="1"/>
    <m/>
  </r>
  <r>
    <x v="4"/>
    <n v="236"/>
    <x v="6"/>
    <x v="6"/>
    <x v="1"/>
    <s v="чел."/>
    <s v="нед."/>
    <s v="Банк"/>
    <m/>
    <x v="1"/>
    <m/>
  </r>
  <r>
    <x v="5"/>
    <n v="295"/>
    <x v="6"/>
    <x v="6"/>
    <x v="1"/>
    <s v="чел."/>
    <s v="нед."/>
    <s v="Банк"/>
    <m/>
    <x v="1"/>
    <m/>
  </r>
  <r>
    <x v="6"/>
    <n v="172"/>
    <x v="6"/>
    <x v="6"/>
    <x v="1"/>
    <s v="чел."/>
    <s v="нед."/>
    <s v="Банк"/>
    <m/>
    <x v="1"/>
    <m/>
  </r>
  <r>
    <x v="7"/>
    <n v="245"/>
    <x v="6"/>
    <x v="6"/>
    <x v="1"/>
    <s v="чел."/>
    <s v="нед."/>
    <s v="Банк"/>
    <m/>
    <x v="1"/>
    <m/>
  </r>
  <r>
    <x v="8"/>
    <n v="229"/>
    <x v="6"/>
    <x v="6"/>
    <x v="1"/>
    <s v="чел."/>
    <s v="нед."/>
    <s v="Банк"/>
    <m/>
    <x v="1"/>
    <m/>
  </r>
  <r>
    <x v="9"/>
    <n v="293"/>
    <x v="6"/>
    <x v="6"/>
    <x v="1"/>
    <s v="чел."/>
    <s v="нед."/>
    <s v="Банк"/>
    <m/>
    <x v="1"/>
    <m/>
  </r>
  <r>
    <x v="10"/>
    <n v="176"/>
    <x v="6"/>
    <x v="6"/>
    <x v="1"/>
    <s v="чел."/>
    <s v="нед."/>
    <s v="Банк"/>
    <m/>
    <x v="1"/>
    <m/>
  </r>
  <r>
    <x v="11"/>
    <n v="258"/>
    <x v="6"/>
    <x v="6"/>
    <x v="1"/>
    <s v="чел."/>
    <s v="нед."/>
    <s v="Банк"/>
    <m/>
    <x v="1"/>
    <m/>
  </r>
  <r>
    <x v="12"/>
    <n v="257"/>
    <x v="6"/>
    <x v="6"/>
    <x v="1"/>
    <s v="чел."/>
    <s v="нед."/>
    <s v="Банк"/>
    <m/>
    <x v="1"/>
    <m/>
  </r>
  <r>
    <x v="13"/>
    <n v="296"/>
    <x v="6"/>
    <x v="6"/>
    <x v="1"/>
    <s v="чел."/>
    <s v="нед."/>
    <s v="Банк"/>
    <m/>
    <x v="1"/>
    <m/>
  </r>
  <r>
    <x v="14"/>
    <n v="261"/>
    <x v="6"/>
    <x v="6"/>
    <x v="1"/>
    <s v="чел."/>
    <s v="нед."/>
    <s v="Банк"/>
    <m/>
    <x v="1"/>
    <m/>
  </r>
  <r>
    <x v="15"/>
    <n v="560"/>
    <x v="6"/>
    <x v="6"/>
    <x v="1"/>
    <s v="чел."/>
    <s v="нед."/>
    <s v="Банк"/>
    <m/>
    <x v="1"/>
    <m/>
  </r>
  <r>
    <x v="16"/>
    <n v="879"/>
    <x v="6"/>
    <x v="6"/>
    <x v="1"/>
    <s v="чел."/>
    <s v="нед."/>
    <s v="Банк"/>
    <m/>
    <x v="1"/>
    <m/>
  </r>
  <r>
    <x v="17"/>
    <n v="897"/>
    <x v="6"/>
    <x v="6"/>
    <x v="1"/>
    <s v="чел."/>
    <s v="нед."/>
    <s v="Банк"/>
    <m/>
    <x v="1"/>
    <m/>
  </r>
  <r>
    <x v="18"/>
    <n v="738"/>
    <x v="6"/>
    <x v="6"/>
    <x v="1"/>
    <s v="чел."/>
    <s v="нед."/>
    <s v="Банк"/>
    <m/>
    <x v="1"/>
    <m/>
  </r>
  <r>
    <x v="19"/>
    <n v="598"/>
    <x v="6"/>
    <x v="6"/>
    <x v="1"/>
    <s v="чел."/>
    <s v="нед."/>
    <s v="Банк"/>
    <m/>
    <x v="1"/>
    <m/>
  </r>
  <r>
    <x v="20"/>
    <n v="601"/>
    <x v="6"/>
    <x v="6"/>
    <x v="1"/>
    <s v="чел."/>
    <s v="нед."/>
    <s v="Банк"/>
    <m/>
    <x v="1"/>
    <m/>
  </r>
  <r>
    <x v="21"/>
    <n v="430"/>
    <x v="6"/>
    <x v="6"/>
    <x v="1"/>
    <s v="чел."/>
    <s v="нед."/>
    <s v="Банк"/>
    <m/>
    <x v="1"/>
    <m/>
  </r>
  <r>
    <x v="22"/>
    <n v="560"/>
    <x v="6"/>
    <x v="6"/>
    <x v="1"/>
    <s v="чел."/>
    <s v="нед."/>
    <s v="Банк"/>
    <m/>
    <x v="1"/>
    <m/>
  </r>
  <r>
    <x v="23"/>
    <n v="454"/>
    <x v="6"/>
    <x v="6"/>
    <x v="1"/>
    <s v="чел."/>
    <s v="нед."/>
    <s v="Банк"/>
    <m/>
    <x v="1"/>
    <m/>
  </r>
  <r>
    <x v="24"/>
    <n v="314"/>
    <x v="6"/>
    <x v="6"/>
    <x v="1"/>
    <s v="чел."/>
    <s v="нед."/>
    <s v="Банк"/>
    <m/>
    <x v="1"/>
    <m/>
  </r>
  <r>
    <x v="25"/>
    <n v="336"/>
    <x v="6"/>
    <x v="6"/>
    <x v="1"/>
    <s v="чел."/>
    <s v="нед."/>
    <s v="Банк"/>
    <m/>
    <x v="1"/>
    <m/>
  </r>
  <r>
    <x v="26"/>
    <n v="419"/>
    <x v="6"/>
    <x v="6"/>
    <x v="1"/>
    <s v="чел."/>
    <s v="нед."/>
    <s v="Банк"/>
    <m/>
    <x v="1"/>
    <m/>
  </r>
  <r>
    <x v="27"/>
    <n v="499"/>
    <x v="6"/>
    <x v="6"/>
    <x v="1"/>
    <s v="чел."/>
    <s v="нед."/>
    <s v="Банк"/>
    <m/>
    <x v="1"/>
    <m/>
  </r>
  <r>
    <x v="28"/>
    <n v="503"/>
    <x v="6"/>
    <x v="6"/>
    <x v="1"/>
    <s v="чел."/>
    <s v="нед."/>
    <s v="Банк"/>
    <m/>
    <x v="1"/>
    <m/>
  </r>
  <r>
    <x v="29"/>
    <n v="342"/>
    <x v="6"/>
    <x v="6"/>
    <x v="1"/>
    <s v="чел."/>
    <s v="нед."/>
    <s v="Банк"/>
    <m/>
    <x v="1"/>
    <m/>
  </r>
  <r>
    <x v="30"/>
    <n v="378"/>
    <x v="6"/>
    <x v="6"/>
    <x v="1"/>
    <s v="чел."/>
    <s v="нед."/>
    <s v="Банк"/>
    <m/>
    <x v="1"/>
    <m/>
  </r>
  <r>
    <x v="0"/>
    <n v="174"/>
    <x v="7"/>
    <x v="7"/>
    <x v="1"/>
    <s v="шт."/>
    <s v="нед."/>
    <s v="Банк"/>
    <m/>
    <x v="1"/>
    <m/>
  </r>
  <r>
    <x v="1"/>
    <n v="215"/>
    <x v="7"/>
    <x v="7"/>
    <x v="1"/>
    <s v="шт."/>
    <s v="нед."/>
    <s v="Банк"/>
    <m/>
    <x v="1"/>
    <m/>
  </r>
  <r>
    <x v="2"/>
    <n v="143"/>
    <x v="7"/>
    <x v="7"/>
    <x v="1"/>
    <s v="шт."/>
    <s v="нед."/>
    <s v="Банк"/>
    <m/>
    <x v="1"/>
    <m/>
  </r>
  <r>
    <x v="3"/>
    <n v="252"/>
    <x v="7"/>
    <x v="7"/>
    <x v="1"/>
    <s v="шт."/>
    <s v="нед."/>
    <s v="Банк"/>
    <m/>
    <x v="1"/>
    <m/>
  </r>
  <r>
    <x v="4"/>
    <n v="194"/>
    <x v="7"/>
    <x v="7"/>
    <x v="1"/>
    <s v="шт."/>
    <s v="нед."/>
    <s v="Банк"/>
    <m/>
    <x v="1"/>
    <m/>
  </r>
  <r>
    <x v="5"/>
    <n v="231"/>
    <x v="7"/>
    <x v="7"/>
    <x v="1"/>
    <s v="шт."/>
    <s v="нед."/>
    <s v="Банк"/>
    <m/>
    <x v="1"/>
    <m/>
  </r>
  <r>
    <x v="6"/>
    <n v="146"/>
    <x v="7"/>
    <x v="7"/>
    <x v="1"/>
    <s v="шт."/>
    <s v="нед."/>
    <s v="Банк"/>
    <m/>
    <x v="1"/>
    <m/>
  </r>
  <r>
    <x v="7"/>
    <n v="193"/>
    <x v="7"/>
    <x v="7"/>
    <x v="1"/>
    <s v="шт."/>
    <s v="нед."/>
    <s v="Банк"/>
    <m/>
    <x v="1"/>
    <m/>
  </r>
  <r>
    <x v="8"/>
    <n v="192"/>
    <x v="7"/>
    <x v="7"/>
    <x v="1"/>
    <s v="шт."/>
    <s v="нед."/>
    <s v="Банк"/>
    <m/>
    <x v="1"/>
    <m/>
  </r>
  <r>
    <x v="9"/>
    <n v="239"/>
    <x v="7"/>
    <x v="7"/>
    <x v="1"/>
    <s v="шт."/>
    <s v="нед."/>
    <s v="Банк"/>
    <m/>
    <x v="1"/>
    <m/>
  </r>
  <r>
    <x v="10"/>
    <n v="156"/>
    <x v="7"/>
    <x v="7"/>
    <x v="1"/>
    <s v="шт."/>
    <s v="нед."/>
    <s v="Банк"/>
    <m/>
    <x v="1"/>
    <m/>
  </r>
  <r>
    <x v="11"/>
    <n v="213"/>
    <x v="7"/>
    <x v="7"/>
    <x v="1"/>
    <s v="шт."/>
    <s v="нед."/>
    <s v="Банк"/>
    <m/>
    <x v="1"/>
    <m/>
  </r>
  <r>
    <x v="12"/>
    <n v="204"/>
    <x v="7"/>
    <x v="7"/>
    <x v="1"/>
    <s v="шт."/>
    <s v="нед."/>
    <s v="Банк"/>
    <m/>
    <x v="1"/>
    <m/>
  </r>
  <r>
    <x v="13"/>
    <n v="227"/>
    <x v="7"/>
    <x v="7"/>
    <x v="1"/>
    <s v="шт."/>
    <s v="нед."/>
    <s v="Банк"/>
    <m/>
    <x v="1"/>
    <m/>
  </r>
  <r>
    <x v="14"/>
    <n v="212"/>
    <x v="7"/>
    <x v="7"/>
    <x v="1"/>
    <s v="шт."/>
    <s v="нед."/>
    <s v="Банк"/>
    <m/>
    <x v="1"/>
    <m/>
  </r>
  <r>
    <x v="15"/>
    <n v="374"/>
    <x v="7"/>
    <x v="7"/>
    <x v="1"/>
    <s v="шт."/>
    <s v="нед."/>
    <s v="Банк"/>
    <m/>
    <x v="1"/>
    <m/>
  </r>
  <r>
    <x v="16"/>
    <n v="546"/>
    <x v="7"/>
    <x v="7"/>
    <x v="1"/>
    <s v="шт."/>
    <s v="нед."/>
    <s v="Банк"/>
    <m/>
    <x v="1"/>
    <m/>
  </r>
  <r>
    <x v="17"/>
    <n v="572"/>
    <x v="7"/>
    <x v="7"/>
    <x v="1"/>
    <s v="шт."/>
    <s v="нед."/>
    <s v="Банк"/>
    <m/>
    <x v="1"/>
    <m/>
  </r>
  <r>
    <x v="18"/>
    <n v="453"/>
    <x v="7"/>
    <x v="7"/>
    <x v="1"/>
    <s v="шт."/>
    <s v="нед."/>
    <s v="Банк"/>
    <m/>
    <x v="1"/>
    <m/>
  </r>
  <r>
    <x v="19"/>
    <n v="394"/>
    <x v="7"/>
    <x v="7"/>
    <x v="1"/>
    <s v="шт."/>
    <s v="нед."/>
    <s v="Банк"/>
    <m/>
    <x v="1"/>
    <m/>
  </r>
  <r>
    <x v="20"/>
    <n v="410"/>
    <x v="7"/>
    <x v="7"/>
    <x v="1"/>
    <s v="шт."/>
    <s v="нед."/>
    <s v="Банк"/>
    <m/>
    <x v="1"/>
    <m/>
  </r>
  <r>
    <x v="21"/>
    <n v="310"/>
    <x v="7"/>
    <x v="7"/>
    <x v="1"/>
    <s v="шт."/>
    <s v="нед."/>
    <s v="Банк"/>
    <m/>
    <x v="1"/>
    <m/>
  </r>
  <r>
    <x v="22"/>
    <n v="402"/>
    <x v="7"/>
    <x v="7"/>
    <x v="1"/>
    <s v="шт."/>
    <s v="нед."/>
    <s v="Банк"/>
    <m/>
    <x v="1"/>
    <m/>
  </r>
  <r>
    <x v="23"/>
    <n v="333"/>
    <x v="7"/>
    <x v="7"/>
    <x v="1"/>
    <s v="шт."/>
    <s v="нед."/>
    <s v="Банк"/>
    <m/>
    <x v="1"/>
    <m/>
  </r>
  <r>
    <x v="24"/>
    <n v="247"/>
    <x v="7"/>
    <x v="7"/>
    <x v="1"/>
    <s v="шт."/>
    <s v="нед."/>
    <s v="Банк"/>
    <m/>
    <x v="1"/>
    <m/>
  </r>
  <r>
    <x v="25"/>
    <n v="265"/>
    <x v="7"/>
    <x v="7"/>
    <x v="1"/>
    <s v="шт."/>
    <s v="нед."/>
    <s v="Банк"/>
    <m/>
    <x v="1"/>
    <m/>
  </r>
  <r>
    <x v="26"/>
    <n v="315"/>
    <x v="7"/>
    <x v="7"/>
    <x v="1"/>
    <s v="шт."/>
    <s v="нед."/>
    <s v="Банк"/>
    <m/>
    <x v="1"/>
    <m/>
  </r>
  <r>
    <x v="27"/>
    <n v="376"/>
    <x v="7"/>
    <x v="7"/>
    <x v="1"/>
    <s v="шт."/>
    <s v="нед."/>
    <s v="Банк"/>
    <m/>
    <x v="1"/>
    <m/>
  </r>
  <r>
    <x v="28"/>
    <n v="372"/>
    <x v="7"/>
    <x v="7"/>
    <x v="1"/>
    <s v="шт."/>
    <s v="нед."/>
    <s v="Банк"/>
    <m/>
    <x v="1"/>
    <m/>
  </r>
  <r>
    <x v="29"/>
    <n v="275"/>
    <x v="7"/>
    <x v="7"/>
    <x v="1"/>
    <s v="шт."/>
    <s v="нед."/>
    <s v="Банк"/>
    <m/>
    <x v="1"/>
    <m/>
  </r>
  <r>
    <x v="30"/>
    <n v="294"/>
    <x v="7"/>
    <x v="7"/>
    <x v="1"/>
    <s v="шт."/>
    <s v="нед."/>
    <s v="Банк"/>
    <m/>
    <x v="1"/>
    <m/>
  </r>
  <r>
    <x v="0"/>
    <n v="1.5266903914590748"/>
    <x v="8"/>
    <x v="8"/>
    <x v="1"/>
    <s v="нед."/>
    <s v="нед."/>
    <s v="Банк"/>
    <m/>
    <x v="1"/>
    <m/>
  </r>
  <r>
    <x v="1"/>
    <n v="1.6928571428571428"/>
    <x v="8"/>
    <x v="8"/>
    <x v="1"/>
    <s v="нед."/>
    <s v="нед."/>
    <s v="Банк"/>
    <m/>
    <x v="1"/>
    <m/>
  </r>
  <r>
    <x v="2"/>
    <n v="1.9431818181818181"/>
    <x v="8"/>
    <x v="8"/>
    <x v="1"/>
    <s v="нед."/>
    <s v="нед."/>
    <s v="Банк"/>
    <m/>
    <x v="1"/>
    <m/>
  </r>
  <r>
    <x v="3"/>
    <n v="2.045977011494253"/>
    <x v="8"/>
    <x v="8"/>
    <x v="1"/>
    <s v="нед."/>
    <s v="нед."/>
    <s v="Банк"/>
    <m/>
    <x v="1"/>
    <m/>
  </r>
  <r>
    <x v="4"/>
    <n v="2.31459375"/>
    <x v="8"/>
    <x v="8"/>
    <x v="1"/>
    <s v="нед."/>
    <s v="нед."/>
    <s v="Банк"/>
    <m/>
    <x v="1"/>
    <m/>
  </r>
  <r>
    <x v="5"/>
    <n v="2.401858407079646"/>
    <x v="8"/>
    <x v="8"/>
    <x v="1"/>
    <s v="нед."/>
    <s v="нед."/>
    <s v="Банк"/>
    <m/>
    <x v="1"/>
    <m/>
  </r>
  <r>
    <x v="6"/>
    <n v="2.5117346938775515"/>
    <x v="8"/>
    <x v="8"/>
    <x v="1"/>
    <s v="нед."/>
    <s v="нед."/>
    <s v="Банк"/>
    <m/>
    <x v="1"/>
    <m/>
  </r>
  <r>
    <x v="7"/>
    <n v="2.5279374999999997"/>
    <x v="8"/>
    <x v="8"/>
    <x v="1"/>
    <s v="нед."/>
    <s v="нед."/>
    <s v="Банк"/>
    <m/>
    <x v="1"/>
    <m/>
  </r>
  <r>
    <x v="8"/>
    <n v="2.5904792332268367"/>
    <x v="8"/>
    <x v="8"/>
    <x v="1"/>
    <s v="нед."/>
    <s v="нед."/>
    <s v="Банк"/>
    <m/>
    <x v="1"/>
    <m/>
  </r>
  <r>
    <x v="9"/>
    <n v="2.7547115384615384"/>
    <x v="8"/>
    <x v="8"/>
    <x v="1"/>
    <s v="нед."/>
    <s v="нед."/>
    <s v="Банк"/>
    <m/>
    <x v="1"/>
    <m/>
  </r>
  <r>
    <x v="10"/>
    <n v="2.6561558441558444"/>
    <x v="8"/>
    <x v="8"/>
    <x v="1"/>
    <s v="нед."/>
    <s v="нед."/>
    <s v="Банк"/>
    <m/>
    <x v="1"/>
    <m/>
  </r>
  <r>
    <x v="11"/>
    <n v="2.809563318777293"/>
    <x v="8"/>
    <x v="8"/>
    <x v="1"/>
    <s v="нед."/>
    <s v="нед."/>
    <s v="Банк"/>
    <m/>
    <x v="1"/>
    <m/>
  </r>
  <r>
    <x v="12"/>
    <n v="2.9073437500000012"/>
    <x v="8"/>
    <x v="8"/>
    <x v="1"/>
    <s v="нед."/>
    <s v="нед."/>
    <s v="Банк"/>
    <m/>
    <x v="1"/>
    <m/>
  </r>
  <r>
    <x v="13"/>
    <n v="2.922848664688427"/>
    <x v="8"/>
    <x v="8"/>
    <x v="1"/>
    <s v="нед."/>
    <s v="нед."/>
    <s v="Банк"/>
    <m/>
    <x v="1"/>
    <m/>
  </r>
  <r>
    <x v="14"/>
    <n v="2.8106666666666666"/>
    <x v="8"/>
    <x v="8"/>
    <x v="1"/>
    <s v="нед."/>
    <s v="нед."/>
    <s v="Банк"/>
    <m/>
    <x v="1"/>
    <m/>
  </r>
  <r>
    <x v="15"/>
    <n v="2.331034482758621"/>
    <x v="8"/>
    <x v="8"/>
    <x v="1"/>
    <s v="нед."/>
    <s v="нед."/>
    <s v="Банк"/>
    <m/>
    <x v="1"/>
    <m/>
  </r>
  <r>
    <x v="16"/>
    <n v="2.2236559139784946"/>
    <x v="8"/>
    <x v="8"/>
    <x v="1"/>
    <s v="нед."/>
    <s v="нед."/>
    <s v="Банк"/>
    <m/>
    <x v="1"/>
    <m/>
  </r>
  <r>
    <x v="17"/>
    <n v="2.2649006622516556"/>
    <x v="8"/>
    <x v="8"/>
    <x v="1"/>
    <s v="нед."/>
    <s v="нед."/>
    <s v="Банк"/>
    <m/>
    <x v="1"/>
    <m/>
  </r>
  <r>
    <x v="18"/>
    <n v="1.6812977099236641"/>
    <x v="8"/>
    <x v="8"/>
    <x v="1"/>
    <s v="нед."/>
    <s v="нед."/>
    <s v="Банк"/>
    <m/>
    <x v="1"/>
    <m/>
  </r>
  <r>
    <x v="19"/>
    <n v="1.9808795411089866"/>
    <x v="8"/>
    <x v="8"/>
    <x v="1"/>
    <s v="нед."/>
    <s v="нед."/>
    <s v="Банк"/>
    <m/>
    <x v="1"/>
    <m/>
  </r>
  <r>
    <x v="20"/>
    <n v="2.032119914346895"/>
    <x v="8"/>
    <x v="8"/>
    <x v="1"/>
    <s v="нед."/>
    <s v="нед."/>
    <s v="Банк"/>
    <m/>
    <x v="1"/>
    <m/>
  </r>
  <r>
    <x v="21"/>
    <n v="2.891533333333333"/>
    <x v="8"/>
    <x v="8"/>
    <x v="1"/>
    <s v="нед."/>
    <s v="нед."/>
    <s v="Банк"/>
    <m/>
    <x v="1"/>
    <m/>
  </r>
  <r>
    <x v="22"/>
    <n v="3.0432735426008968"/>
    <x v="8"/>
    <x v="8"/>
    <x v="1"/>
    <s v="нед."/>
    <s v="нед."/>
    <s v="Банк"/>
    <m/>
    <x v="1"/>
    <m/>
  </r>
  <r>
    <x v="23"/>
    <n v="2.877206982543641"/>
    <x v="8"/>
    <x v="8"/>
    <x v="1"/>
    <s v="нед."/>
    <s v="нед."/>
    <s v="Банк"/>
    <m/>
    <x v="1"/>
    <m/>
  </r>
  <r>
    <x v="24"/>
    <n v="2.388535031847134"/>
    <x v="8"/>
    <x v="8"/>
    <x v="1"/>
    <s v="нед."/>
    <s v="нед."/>
    <s v="Банк"/>
    <m/>
    <x v="1"/>
    <m/>
  </r>
  <r>
    <x v="25"/>
    <n v="1.9196891191709844"/>
    <x v="8"/>
    <x v="8"/>
    <x v="1"/>
    <s v="нед."/>
    <s v="нед."/>
    <s v="Банк"/>
    <m/>
    <x v="1"/>
    <m/>
  </r>
  <r>
    <x v="26"/>
    <n v="2.481012658227848"/>
    <x v="8"/>
    <x v="8"/>
    <x v="1"/>
    <s v="нед."/>
    <s v="нед."/>
    <s v="Банк"/>
    <m/>
    <x v="1"/>
    <m/>
  </r>
  <r>
    <x v="27"/>
    <n v="1.7671232876712328"/>
    <x v="8"/>
    <x v="8"/>
    <x v="1"/>
    <s v="нед."/>
    <s v="нед."/>
    <s v="Банк"/>
    <m/>
    <x v="1"/>
    <m/>
  </r>
  <r>
    <x v="28"/>
    <n v="2.207792207792208"/>
    <x v="8"/>
    <x v="8"/>
    <x v="1"/>
    <s v="нед."/>
    <s v="нед."/>
    <s v="Банк"/>
    <m/>
    <x v="1"/>
    <m/>
  </r>
  <r>
    <x v="29"/>
    <n v="1.9816272965879265"/>
    <x v="8"/>
    <x v="8"/>
    <x v="1"/>
    <s v="нед."/>
    <s v="нед."/>
    <s v="Банк"/>
    <m/>
    <x v="1"/>
    <m/>
  </r>
  <r>
    <x v="30"/>
    <n v="2.10803324099723"/>
    <x v="8"/>
    <x v="8"/>
    <x v="1"/>
    <s v="нед."/>
    <s v="нед."/>
    <s v="Банк"/>
    <m/>
    <x v="1"/>
    <m/>
  </r>
  <r>
    <x v="31"/>
    <n v="31"/>
    <x v="9"/>
    <x v="9"/>
    <x v="0"/>
    <s v="шт."/>
    <s v="нед."/>
    <s v="Банк"/>
    <m/>
    <x v="0"/>
    <m/>
  </r>
  <r>
    <x v="32"/>
    <n v="34"/>
    <x v="9"/>
    <x v="9"/>
    <x v="0"/>
    <s v="шт."/>
    <s v="нед."/>
    <s v="Банк"/>
    <m/>
    <x v="0"/>
    <m/>
  </r>
  <r>
    <x v="0"/>
    <n v="34"/>
    <x v="9"/>
    <x v="9"/>
    <x v="0"/>
    <s v="шт."/>
    <s v="нед."/>
    <s v="Банк"/>
    <m/>
    <x v="0"/>
    <m/>
  </r>
  <r>
    <x v="1"/>
    <n v="34"/>
    <x v="9"/>
    <x v="9"/>
    <x v="0"/>
    <s v="шт."/>
    <s v="нед."/>
    <s v="Банк"/>
    <m/>
    <x v="0"/>
    <m/>
  </r>
  <r>
    <x v="2"/>
    <n v="34"/>
    <x v="9"/>
    <x v="9"/>
    <x v="0"/>
    <s v="шт."/>
    <s v="нед."/>
    <s v="Банк"/>
    <m/>
    <x v="0"/>
    <m/>
  </r>
  <r>
    <x v="3"/>
    <n v="34"/>
    <x v="9"/>
    <x v="9"/>
    <x v="0"/>
    <s v="шт."/>
    <s v="нед."/>
    <s v="Банк"/>
    <m/>
    <x v="0"/>
    <m/>
  </r>
  <r>
    <x v="4"/>
    <n v="34"/>
    <x v="9"/>
    <x v="9"/>
    <x v="0"/>
    <s v="шт."/>
    <s v="нед."/>
    <s v="Банк"/>
    <m/>
    <x v="0"/>
    <m/>
  </r>
  <r>
    <x v="5"/>
    <n v="34"/>
    <x v="9"/>
    <x v="9"/>
    <x v="0"/>
    <s v="шт."/>
    <s v="нед."/>
    <s v="Банк"/>
    <m/>
    <x v="0"/>
    <m/>
  </r>
  <r>
    <x v="6"/>
    <n v="34"/>
    <x v="9"/>
    <x v="9"/>
    <x v="0"/>
    <s v="шт."/>
    <s v="нед."/>
    <s v="Банк"/>
    <m/>
    <x v="0"/>
    <m/>
  </r>
  <r>
    <x v="7"/>
    <n v="34"/>
    <x v="9"/>
    <x v="9"/>
    <x v="0"/>
    <s v="шт."/>
    <s v="нед."/>
    <s v="Банк"/>
    <m/>
    <x v="0"/>
    <m/>
  </r>
  <r>
    <x v="8"/>
    <n v="34"/>
    <x v="9"/>
    <x v="9"/>
    <x v="0"/>
    <s v="шт."/>
    <s v="нед."/>
    <s v="Банк"/>
    <m/>
    <x v="0"/>
    <m/>
  </r>
  <r>
    <x v="9"/>
    <n v="34"/>
    <x v="9"/>
    <x v="9"/>
    <x v="0"/>
    <s v="шт."/>
    <s v="нед."/>
    <s v="Банк"/>
    <m/>
    <x v="0"/>
    <m/>
  </r>
  <r>
    <x v="10"/>
    <n v="34"/>
    <x v="9"/>
    <x v="9"/>
    <x v="0"/>
    <s v="шт."/>
    <s v="нед."/>
    <s v="Банк"/>
    <m/>
    <x v="0"/>
    <m/>
  </r>
  <r>
    <x v="11"/>
    <n v="34"/>
    <x v="9"/>
    <x v="9"/>
    <x v="0"/>
    <s v="шт."/>
    <s v="нед."/>
    <s v="Банк"/>
    <m/>
    <x v="0"/>
    <m/>
  </r>
  <r>
    <x v="12"/>
    <n v="34"/>
    <x v="9"/>
    <x v="9"/>
    <x v="0"/>
    <s v="шт."/>
    <s v="нед."/>
    <s v="Банк"/>
    <m/>
    <x v="0"/>
    <m/>
  </r>
  <r>
    <x v="13"/>
    <n v="36"/>
    <x v="9"/>
    <x v="9"/>
    <x v="0"/>
    <s v="шт."/>
    <s v="нед."/>
    <s v="Банк"/>
    <m/>
    <x v="0"/>
    <m/>
  </r>
  <r>
    <x v="14"/>
    <n v="36"/>
    <x v="9"/>
    <x v="9"/>
    <x v="0"/>
    <s v="шт."/>
    <s v="нед."/>
    <s v="Банк"/>
    <m/>
    <x v="0"/>
    <m/>
  </r>
  <r>
    <x v="15"/>
    <n v="36"/>
    <x v="9"/>
    <x v="9"/>
    <x v="0"/>
    <s v="шт."/>
    <s v="нед."/>
    <s v="Банк"/>
    <m/>
    <x v="0"/>
    <m/>
  </r>
  <r>
    <x v="16"/>
    <n v="36"/>
    <x v="9"/>
    <x v="9"/>
    <x v="0"/>
    <s v="шт."/>
    <s v="нед."/>
    <s v="Банк"/>
    <m/>
    <x v="0"/>
    <m/>
  </r>
  <r>
    <x v="17"/>
    <n v="36"/>
    <x v="9"/>
    <x v="9"/>
    <x v="0"/>
    <s v="шт."/>
    <s v="нед."/>
    <s v="Банк"/>
    <m/>
    <x v="0"/>
    <m/>
  </r>
  <r>
    <x v="18"/>
    <n v="36"/>
    <x v="9"/>
    <x v="9"/>
    <x v="0"/>
    <s v="шт."/>
    <s v="нед."/>
    <s v="Банк"/>
    <m/>
    <x v="0"/>
    <m/>
  </r>
  <r>
    <x v="19"/>
    <n v="36"/>
    <x v="9"/>
    <x v="9"/>
    <x v="0"/>
    <s v="шт."/>
    <s v="нед."/>
    <s v="Банк"/>
    <m/>
    <x v="0"/>
    <m/>
  </r>
  <r>
    <x v="20"/>
    <n v="36"/>
    <x v="9"/>
    <x v="9"/>
    <x v="0"/>
    <s v="шт."/>
    <s v="нед."/>
    <s v="Банк"/>
    <m/>
    <x v="0"/>
    <m/>
  </r>
  <r>
    <x v="21"/>
    <n v="36"/>
    <x v="9"/>
    <x v="9"/>
    <x v="0"/>
    <s v="шт."/>
    <s v="нед."/>
    <s v="Банк"/>
    <m/>
    <x v="0"/>
    <m/>
  </r>
  <r>
    <x v="22"/>
    <n v="36"/>
    <x v="9"/>
    <x v="9"/>
    <x v="0"/>
    <s v="шт."/>
    <s v="нед."/>
    <s v="Банк"/>
    <m/>
    <x v="0"/>
    <m/>
  </r>
  <r>
    <x v="23"/>
    <n v="36"/>
    <x v="9"/>
    <x v="9"/>
    <x v="0"/>
    <s v="шт."/>
    <s v="нед."/>
    <s v="Банк"/>
    <m/>
    <x v="0"/>
    <m/>
  </r>
  <r>
    <x v="24"/>
    <n v="36"/>
    <x v="9"/>
    <x v="9"/>
    <x v="0"/>
    <s v="шт."/>
    <s v="нед."/>
    <s v="Банк"/>
    <m/>
    <x v="0"/>
    <m/>
  </r>
  <r>
    <x v="25"/>
    <n v="36"/>
    <x v="9"/>
    <x v="9"/>
    <x v="0"/>
    <s v="шт."/>
    <s v="нед."/>
    <s v="Банк"/>
    <m/>
    <x v="0"/>
    <m/>
  </r>
  <r>
    <x v="26"/>
    <n v="36"/>
    <x v="9"/>
    <x v="9"/>
    <x v="0"/>
    <s v="шт."/>
    <s v="нед."/>
    <s v="Банк"/>
    <m/>
    <x v="0"/>
    <m/>
  </r>
  <r>
    <x v="27"/>
    <n v="36"/>
    <x v="9"/>
    <x v="9"/>
    <x v="0"/>
    <s v="шт."/>
    <s v="нед."/>
    <s v="Банк"/>
    <m/>
    <x v="0"/>
    <m/>
  </r>
  <r>
    <x v="28"/>
    <n v="36"/>
    <x v="9"/>
    <x v="9"/>
    <x v="0"/>
    <s v="шт."/>
    <s v="нед."/>
    <s v="Банк"/>
    <m/>
    <x v="0"/>
    <m/>
  </r>
  <r>
    <x v="29"/>
    <n v="36"/>
    <x v="9"/>
    <x v="9"/>
    <x v="0"/>
    <s v="шт."/>
    <s v="нед."/>
    <s v="Банк"/>
    <m/>
    <x v="0"/>
    <m/>
  </r>
  <r>
    <x v="30"/>
    <n v="36"/>
    <x v="9"/>
    <x v="9"/>
    <x v="0"/>
    <s v="шт."/>
    <s v="нед."/>
    <s v="Банк"/>
    <m/>
    <x v="0"/>
    <m/>
  </r>
  <r>
    <x v="14"/>
    <n v="-1"/>
    <x v="10"/>
    <x v="10"/>
    <x v="0"/>
    <s v="шт."/>
    <s v="нед."/>
    <s v="Банк"/>
    <m/>
    <x v="2"/>
    <m/>
  </r>
  <r>
    <x v="2"/>
    <n v="-1"/>
    <x v="10"/>
    <x v="10"/>
    <x v="0"/>
    <s v="шт."/>
    <s v="нед."/>
    <s v="Банк"/>
    <m/>
    <x v="3"/>
    <m/>
  </r>
  <r>
    <x v="4"/>
    <n v="-1"/>
    <x v="10"/>
    <x v="10"/>
    <x v="0"/>
    <s v="шт."/>
    <s v="нед."/>
    <s v="Банк"/>
    <m/>
    <x v="4"/>
    <m/>
  </r>
  <r>
    <x v="4"/>
    <n v="-1"/>
    <x v="11"/>
    <x v="11"/>
    <x v="0"/>
    <s v="шт."/>
    <s v="нед."/>
    <s v="Банк"/>
    <m/>
    <x v="5"/>
    <m/>
  </r>
  <r>
    <x v="4"/>
    <n v="-1"/>
    <x v="11"/>
    <x v="11"/>
    <x v="0"/>
    <s v="шт."/>
    <s v="нед."/>
    <s v="Банк"/>
    <m/>
    <x v="6"/>
    <m/>
  </r>
  <r>
    <x v="16"/>
    <n v="-1"/>
    <x v="11"/>
    <x v="11"/>
    <x v="0"/>
    <s v="шт."/>
    <s v="нед."/>
    <s v="Банк"/>
    <m/>
    <x v="7"/>
    <m/>
  </r>
  <r>
    <x v="13"/>
    <n v="1"/>
    <x v="12"/>
    <x v="12"/>
    <x v="0"/>
    <s v="шт."/>
    <s v="нед."/>
    <s v="Банк"/>
    <m/>
    <x v="8"/>
    <m/>
  </r>
  <r>
    <x v="13"/>
    <n v="1"/>
    <x v="12"/>
    <x v="12"/>
    <x v="0"/>
    <s v="шт."/>
    <s v="нед."/>
    <s v="Банк"/>
    <m/>
    <x v="9"/>
    <m/>
  </r>
  <r>
    <x v="16"/>
    <n v="-1"/>
    <x v="10"/>
    <x v="10"/>
    <x v="0"/>
    <s v="шт."/>
    <s v="нед."/>
    <s v="Банк"/>
    <m/>
    <x v="10"/>
    <m/>
  </r>
  <r>
    <x v="16"/>
    <n v="-1"/>
    <x v="11"/>
    <x v="11"/>
    <x v="0"/>
    <s v="шт."/>
    <s v="нед."/>
    <s v="Банк"/>
    <m/>
    <x v="11"/>
    <m/>
  </r>
  <r>
    <x v="32"/>
    <n v="1"/>
    <x v="12"/>
    <x v="12"/>
    <x v="0"/>
    <s v="шт."/>
    <s v="нед."/>
    <s v="Банк"/>
    <m/>
    <x v="12"/>
    <m/>
  </r>
  <r>
    <x v="32"/>
    <n v="1"/>
    <x v="12"/>
    <x v="12"/>
    <x v="0"/>
    <s v="шт."/>
    <s v="нед."/>
    <s v="Банк"/>
    <m/>
    <x v="13"/>
    <m/>
  </r>
  <r>
    <x v="33"/>
    <n v="1"/>
    <x v="12"/>
    <x v="12"/>
    <x v="0"/>
    <s v="шт."/>
    <s v="нед."/>
    <s v="Банк"/>
    <m/>
    <x v="14"/>
    <m/>
  </r>
  <r>
    <x v="33"/>
    <n v="1"/>
    <x v="12"/>
    <x v="12"/>
    <x v="0"/>
    <s v="шт."/>
    <s v="нед."/>
    <s v="Банк"/>
    <m/>
    <x v="15"/>
    <m/>
  </r>
  <r>
    <x v="33"/>
    <n v="1"/>
    <x v="12"/>
    <x v="12"/>
    <x v="0"/>
    <s v="шт."/>
    <s v="нед."/>
    <s v="Банк"/>
    <m/>
    <x v="16"/>
    <m/>
  </r>
  <r>
    <x v="33"/>
    <n v="1"/>
    <x v="12"/>
    <x v="12"/>
    <x v="0"/>
    <s v="шт."/>
    <s v="нед."/>
    <s v="Банк"/>
    <m/>
    <x v="17"/>
    <m/>
  </r>
  <r>
    <x v="16"/>
    <n v="-1"/>
    <x v="11"/>
    <x v="11"/>
    <x v="0"/>
    <s v="шт."/>
    <s v="нед."/>
    <s v="Банк"/>
    <m/>
    <x v="18"/>
    <m/>
  </r>
  <r>
    <x v="9"/>
    <n v="-1"/>
    <x v="11"/>
    <x v="11"/>
    <x v="0"/>
    <s v="шт."/>
    <s v="нед."/>
    <s v="Банк"/>
    <m/>
    <x v="19"/>
    <m/>
  </r>
  <r>
    <x v="9"/>
    <n v="-1"/>
    <x v="11"/>
    <x v="11"/>
    <x v="0"/>
    <s v="шт."/>
    <s v="нед."/>
    <s v="Банк"/>
    <m/>
    <x v="20"/>
    <m/>
  </r>
  <r>
    <x v="4"/>
    <n v="-1"/>
    <x v="11"/>
    <x v="11"/>
    <x v="0"/>
    <s v="шт."/>
    <s v="нед."/>
    <s v="Банк"/>
    <m/>
    <x v="21"/>
    <m/>
  </r>
  <r>
    <x v="16"/>
    <n v="-1"/>
    <x v="11"/>
    <x v="11"/>
    <x v="0"/>
    <s v="шт."/>
    <s v="нед."/>
    <s v="Банк"/>
    <m/>
    <x v="22"/>
    <m/>
  </r>
  <r>
    <x v="16"/>
    <n v="-1"/>
    <x v="11"/>
    <x v="11"/>
    <x v="0"/>
    <s v="шт."/>
    <s v="нед."/>
    <s v="Банк"/>
    <m/>
    <x v="23"/>
    <m/>
  </r>
  <r>
    <x v="4"/>
    <n v="-1"/>
    <x v="11"/>
    <x v="11"/>
    <x v="0"/>
    <s v="шт."/>
    <s v="нед."/>
    <s v="Банк"/>
    <m/>
    <x v="24"/>
    <m/>
  </r>
  <r>
    <x v="4"/>
    <n v="-1"/>
    <x v="11"/>
    <x v="11"/>
    <x v="0"/>
    <s v="шт."/>
    <s v="нед."/>
    <s v="Банк"/>
    <m/>
    <x v="25"/>
    <m/>
  </r>
  <r>
    <x v="2"/>
    <n v="-1"/>
    <x v="10"/>
    <x v="10"/>
    <x v="0"/>
    <s v="шт."/>
    <s v="нед."/>
    <s v="Банк"/>
    <m/>
    <x v="26"/>
    <m/>
  </r>
  <r>
    <x v="32"/>
    <n v="1"/>
    <x v="12"/>
    <x v="12"/>
    <x v="0"/>
    <s v="шт."/>
    <s v="нед."/>
    <s v="Банк"/>
    <m/>
    <x v="1"/>
    <m/>
  </r>
  <r>
    <x v="29"/>
    <n v="2490"/>
    <x v="13"/>
    <x v="13"/>
    <x v="1"/>
    <s v="чел."/>
    <s v="нед."/>
    <s v="Банк"/>
    <m/>
    <x v="1"/>
    <m/>
  </r>
  <r>
    <x v="29"/>
    <n v="2490"/>
    <x v="14"/>
    <x v="14"/>
    <x v="1"/>
    <s v="чел."/>
    <s v="нед."/>
    <s v="Банк"/>
    <m/>
    <x v="1"/>
    <m/>
  </r>
  <r>
    <x v="29"/>
    <n v="100"/>
    <x v="15"/>
    <x v="15"/>
    <x v="1"/>
    <s v="%"/>
    <s v="нед."/>
    <s v="Банк"/>
    <m/>
    <x v="1"/>
    <m/>
  </r>
  <r>
    <x v="29"/>
    <n v="100"/>
    <x v="16"/>
    <x v="16"/>
    <x v="1"/>
    <s v="%"/>
    <s v="нед."/>
    <s v="Банк"/>
    <m/>
    <x v="1"/>
    <m/>
  </r>
  <r>
    <x v="29"/>
    <n v="1800"/>
    <x v="17"/>
    <x v="17"/>
    <x v="1"/>
    <s v="чел."/>
    <s v="нед."/>
    <s v="Банк"/>
    <m/>
    <x v="1"/>
    <m/>
  </r>
  <r>
    <x v="29"/>
    <n v="72.28915662650603"/>
    <x v="18"/>
    <x v="18"/>
    <x v="1"/>
    <s v="%"/>
    <s v="нед."/>
    <s v="Банк"/>
    <m/>
    <x v="1"/>
    <m/>
  </r>
  <r>
    <x v="29"/>
    <n v="72.28915662650603"/>
    <x v="19"/>
    <x v="19"/>
    <x v="1"/>
    <s v="%"/>
    <s v="нед."/>
    <s v="Банк"/>
    <m/>
    <x v="1"/>
    <m/>
  </r>
  <r>
    <x v="29"/>
    <n v="800"/>
    <x v="20"/>
    <x v="20"/>
    <x v="1"/>
    <s v="чел."/>
    <s v="нед."/>
    <s v="Банк"/>
    <m/>
    <x v="1"/>
    <m/>
  </r>
  <r>
    <x v="29"/>
    <n v="44.44444444444444"/>
    <x v="21"/>
    <x v="21"/>
    <x v="1"/>
    <s v="%"/>
    <s v="нед."/>
    <s v="Банк"/>
    <m/>
    <x v="1"/>
    <m/>
  </r>
  <r>
    <x v="29"/>
    <n v="32.1285140562249"/>
    <x v="22"/>
    <x v="22"/>
    <x v="1"/>
    <s v="%"/>
    <s v="нед."/>
    <s v="Банк"/>
    <m/>
    <x v="1"/>
    <m/>
  </r>
  <r>
    <x v="29"/>
    <n v="700"/>
    <x v="23"/>
    <x v="23"/>
    <x v="1"/>
    <s v="чел."/>
    <s v="нед."/>
    <s v="Банк"/>
    <m/>
    <x v="1"/>
    <m/>
  </r>
  <r>
    <x v="29"/>
    <n v="87.5"/>
    <x v="24"/>
    <x v="24"/>
    <x v="1"/>
    <s v="%"/>
    <s v="нед."/>
    <s v="Банк"/>
    <m/>
    <x v="1"/>
    <m/>
  </r>
  <r>
    <x v="29"/>
    <n v="28.11244979919679"/>
    <x v="25"/>
    <x v="25"/>
    <x v="1"/>
    <s v="%"/>
    <s v="нед."/>
    <s v="Банк"/>
    <m/>
    <x v="1"/>
    <m/>
  </r>
  <r>
    <x v="29"/>
    <n v="600"/>
    <x v="26"/>
    <x v="26"/>
    <x v="1"/>
    <s v="чел."/>
    <s v="нед."/>
    <s v="Банк"/>
    <m/>
    <x v="1"/>
    <m/>
  </r>
  <r>
    <x v="29"/>
    <n v="85.71428571428571"/>
    <x v="27"/>
    <x v="27"/>
    <x v="1"/>
    <s v="%"/>
    <s v="нед."/>
    <s v="Банк"/>
    <m/>
    <x v="1"/>
    <m/>
  </r>
  <r>
    <x v="29"/>
    <n v="24.096385542168676"/>
    <x v="28"/>
    <x v="28"/>
    <x v="1"/>
    <s v="%"/>
    <s v="нед."/>
    <s v="Банк"/>
    <m/>
    <x v="1"/>
    <m/>
  </r>
  <r>
    <x v="29"/>
    <n v="553"/>
    <x v="29"/>
    <x v="29"/>
    <x v="1"/>
    <s v="чел."/>
    <s v="нед."/>
    <s v="Банк"/>
    <m/>
    <x v="1"/>
    <m/>
  </r>
  <r>
    <x v="29"/>
    <n v="92.16666666666666"/>
    <x v="30"/>
    <x v="30"/>
    <x v="1"/>
    <s v="%"/>
    <s v="нед."/>
    <s v="Банк"/>
    <m/>
    <x v="1"/>
    <m/>
  </r>
  <r>
    <x v="29"/>
    <n v="22.208835341365464"/>
    <x v="31"/>
    <x v="31"/>
    <x v="1"/>
    <s v="%"/>
    <s v="нед."/>
    <s v="Банк"/>
    <m/>
    <x v="1"/>
    <m/>
  </r>
  <r>
    <x v="29"/>
    <n v="50"/>
    <x v="32"/>
    <x v="32"/>
    <x v="1"/>
    <s v="%"/>
    <s v="мес."/>
    <s v="Банк"/>
    <m/>
    <x v="1"/>
    <m/>
  </r>
  <r>
    <x v="29"/>
    <n v="4.1"/>
    <x v="33"/>
    <x v="33"/>
    <x v="1"/>
    <s v="повтор."/>
    <s v="мес."/>
    <s v="Банк"/>
    <m/>
    <x v="1"/>
    <m/>
  </r>
  <r>
    <x v="29"/>
    <n v="60"/>
    <x v="34"/>
    <x v="32"/>
    <x v="0"/>
    <s v="%"/>
    <s v="мес."/>
    <s v="Банк"/>
    <m/>
    <x v="0"/>
    <m/>
  </r>
  <r>
    <x v="29"/>
    <n v="5.1"/>
    <x v="35"/>
    <x v="34"/>
    <x v="0"/>
    <s v="повтор."/>
    <s v="мес."/>
    <s v="Банк"/>
    <m/>
    <x v="0"/>
    <m/>
  </r>
  <r>
    <x v="0"/>
    <n v="1534"/>
    <x v="36"/>
    <x v="35"/>
    <x v="0"/>
    <s v="шт."/>
    <s v="нед."/>
    <s v="Банк"/>
    <m/>
    <x v="0"/>
    <m/>
  </r>
  <r>
    <x v="1"/>
    <n v="1250"/>
    <x v="36"/>
    <x v="35"/>
    <x v="0"/>
    <s v="шт."/>
    <s v="нед."/>
    <s v="Банк"/>
    <m/>
    <x v="0"/>
    <m/>
  </r>
  <r>
    <x v="2"/>
    <n v="1340"/>
    <x v="36"/>
    <x v="35"/>
    <x v="0"/>
    <s v="шт."/>
    <s v="нед."/>
    <s v="Банк"/>
    <m/>
    <x v="0"/>
    <m/>
  </r>
  <r>
    <x v="3"/>
    <n v="1217"/>
    <x v="36"/>
    <x v="35"/>
    <x v="0"/>
    <s v="шт."/>
    <s v="нед."/>
    <s v="Банк"/>
    <m/>
    <x v="0"/>
    <m/>
  </r>
  <r>
    <x v="4"/>
    <n v="1378"/>
    <x v="36"/>
    <x v="35"/>
    <x v="0"/>
    <s v="шт."/>
    <s v="нед."/>
    <s v="Банк"/>
    <m/>
    <x v="0"/>
    <m/>
  </r>
  <r>
    <x v="5"/>
    <n v="920"/>
    <x v="36"/>
    <x v="35"/>
    <x v="0"/>
    <s v="шт."/>
    <s v="нед."/>
    <s v="Банк"/>
    <m/>
    <x v="0"/>
    <m/>
  </r>
  <r>
    <x v="7"/>
    <n v="966"/>
    <x v="36"/>
    <x v="35"/>
    <x v="0"/>
    <s v="шт."/>
    <s v="нед."/>
    <s v="Банк"/>
    <m/>
    <x v="0"/>
    <m/>
  </r>
  <r>
    <x v="8"/>
    <n v="1093"/>
    <x v="36"/>
    <x v="35"/>
    <x v="0"/>
    <s v="шт."/>
    <s v="нед."/>
    <s v="Банк"/>
    <m/>
    <x v="0"/>
    <m/>
  </r>
  <r>
    <x v="9"/>
    <n v="1199"/>
    <x v="36"/>
    <x v="35"/>
    <x v="0"/>
    <s v="шт."/>
    <s v="нед."/>
    <s v="Банк"/>
    <m/>
    <x v="0"/>
    <m/>
  </r>
  <r>
    <x v="10"/>
    <n v="1190"/>
    <x v="36"/>
    <x v="35"/>
    <x v="0"/>
    <s v="шт."/>
    <s v="нед."/>
    <s v="Банк"/>
    <m/>
    <x v="0"/>
    <m/>
  </r>
  <r>
    <x v="11"/>
    <n v="1133"/>
    <x v="36"/>
    <x v="35"/>
    <x v="0"/>
    <s v="шт."/>
    <s v="нед."/>
    <s v="Банк"/>
    <m/>
    <x v="0"/>
    <m/>
  </r>
  <r>
    <x v="12"/>
    <n v="1097"/>
    <x v="36"/>
    <x v="35"/>
    <x v="0"/>
    <s v="шт."/>
    <s v="нед."/>
    <s v="Банк"/>
    <m/>
    <x v="0"/>
    <m/>
  </r>
  <r>
    <x v="13"/>
    <n v="1233"/>
    <x v="36"/>
    <x v="35"/>
    <x v="0"/>
    <s v="шт."/>
    <s v="нед."/>
    <s v="Банк"/>
    <m/>
    <x v="0"/>
    <m/>
  </r>
  <r>
    <x v="14"/>
    <n v="779"/>
    <x v="36"/>
    <x v="35"/>
    <x v="0"/>
    <s v="шт."/>
    <s v="нед."/>
    <s v="Банк"/>
    <m/>
    <x v="0"/>
    <m/>
  </r>
  <r>
    <x v="15"/>
    <n v="1146"/>
    <x v="36"/>
    <x v="35"/>
    <x v="0"/>
    <s v="шт."/>
    <s v="нед."/>
    <s v="Банк"/>
    <m/>
    <x v="0"/>
    <m/>
  </r>
  <r>
    <x v="16"/>
    <n v="1831"/>
    <x v="36"/>
    <x v="35"/>
    <x v="0"/>
    <s v="шт."/>
    <s v="нед."/>
    <s v="Банк"/>
    <m/>
    <x v="0"/>
    <m/>
  </r>
  <r>
    <x v="17"/>
    <n v="1893"/>
    <x v="36"/>
    <x v="35"/>
    <x v="0"/>
    <s v="шт."/>
    <s v="нед."/>
    <s v="Банк"/>
    <m/>
    <x v="0"/>
    <m/>
  </r>
  <r>
    <x v="18"/>
    <n v="1702"/>
    <x v="36"/>
    <x v="35"/>
    <x v="0"/>
    <s v="шт."/>
    <s v="нед."/>
    <s v="Банк"/>
    <m/>
    <x v="0"/>
    <m/>
  </r>
  <r>
    <x v="19"/>
    <n v="1508"/>
    <x v="36"/>
    <x v="35"/>
    <x v="0"/>
    <s v="шт."/>
    <s v="нед."/>
    <s v="Банк"/>
    <m/>
    <x v="0"/>
    <m/>
  </r>
  <r>
    <x v="20"/>
    <n v="1522"/>
    <x v="36"/>
    <x v="35"/>
    <x v="0"/>
    <s v="шт."/>
    <s v="нед."/>
    <s v="Банк"/>
    <m/>
    <x v="0"/>
    <m/>
  </r>
  <r>
    <x v="21"/>
    <n v="1255"/>
    <x v="36"/>
    <x v="35"/>
    <x v="0"/>
    <s v="шт."/>
    <s v="нед."/>
    <s v="Банк"/>
    <m/>
    <x v="0"/>
    <m/>
  </r>
  <r>
    <x v="22"/>
    <n v="1274"/>
    <x v="36"/>
    <x v="35"/>
    <x v="0"/>
    <s v="шт."/>
    <s v="нед."/>
    <s v="Банк"/>
    <m/>
    <x v="0"/>
    <m/>
  </r>
  <r>
    <x v="23"/>
    <n v="1206"/>
    <x v="36"/>
    <x v="35"/>
    <x v="0"/>
    <s v="шт."/>
    <s v="нед."/>
    <s v="Банк"/>
    <m/>
    <x v="0"/>
    <m/>
  </r>
  <r>
    <x v="24"/>
    <n v="1034"/>
    <x v="36"/>
    <x v="35"/>
    <x v="0"/>
    <s v="шт."/>
    <s v="нед."/>
    <s v="Банк"/>
    <m/>
    <x v="0"/>
    <m/>
  </r>
  <r>
    <x v="25"/>
    <n v="905"/>
    <x v="36"/>
    <x v="35"/>
    <x v="0"/>
    <s v="шт."/>
    <s v="нед."/>
    <s v="Банк"/>
    <m/>
    <x v="0"/>
    <m/>
  </r>
  <r>
    <x v="26"/>
    <n v="1078"/>
    <x v="36"/>
    <x v="35"/>
    <x v="0"/>
    <s v="шт."/>
    <s v="нед."/>
    <s v="Банк"/>
    <m/>
    <x v="0"/>
    <m/>
  </r>
  <r>
    <x v="27"/>
    <n v="1111"/>
    <x v="36"/>
    <x v="35"/>
    <x v="0"/>
    <s v="шт."/>
    <s v="нед."/>
    <s v="Банк"/>
    <m/>
    <x v="0"/>
    <m/>
  </r>
  <r>
    <x v="28"/>
    <n v="1073"/>
    <x v="36"/>
    <x v="35"/>
    <x v="0"/>
    <s v="шт."/>
    <s v="нед."/>
    <s v="Банк"/>
    <m/>
    <x v="0"/>
    <m/>
  </r>
  <r>
    <x v="29"/>
    <n v="823"/>
    <x v="36"/>
    <x v="35"/>
    <x v="0"/>
    <s v="шт."/>
    <s v="нед."/>
    <s v="Банк"/>
    <m/>
    <x v="0"/>
    <m/>
  </r>
  <r>
    <x v="30"/>
    <n v="1011"/>
    <x v="36"/>
    <x v="35"/>
    <x v="0"/>
    <s v="шт."/>
    <s v="нед."/>
    <s v="Банк"/>
    <m/>
    <x v="0"/>
    <m/>
  </r>
  <r>
    <x v="0"/>
    <n v="1493"/>
    <x v="37"/>
    <x v="36"/>
    <x v="0"/>
    <s v="шт."/>
    <s v="нед."/>
    <s v="Банк"/>
    <m/>
    <x v="0"/>
    <m/>
  </r>
  <r>
    <x v="1"/>
    <n v="1739"/>
    <x v="37"/>
    <x v="36"/>
    <x v="0"/>
    <s v="шт."/>
    <s v="нед."/>
    <s v="Банк"/>
    <m/>
    <x v="0"/>
    <m/>
  </r>
  <r>
    <x v="2"/>
    <n v="1539"/>
    <x v="37"/>
    <x v="36"/>
    <x v="0"/>
    <s v="шт."/>
    <s v="нед."/>
    <s v="Банк"/>
    <m/>
    <x v="0"/>
    <m/>
  </r>
  <r>
    <x v="3"/>
    <n v="1480"/>
    <x v="37"/>
    <x v="36"/>
    <x v="0"/>
    <s v="шт."/>
    <s v="нед."/>
    <s v="Банк"/>
    <m/>
    <x v="0"/>
    <m/>
  </r>
  <r>
    <x v="4"/>
    <n v="1488"/>
    <x v="37"/>
    <x v="36"/>
    <x v="0"/>
    <s v="шт."/>
    <s v="нед."/>
    <s v="Банк"/>
    <m/>
    <x v="0"/>
    <m/>
  </r>
  <r>
    <x v="5"/>
    <n v="1298"/>
    <x v="37"/>
    <x v="36"/>
    <x v="0"/>
    <s v="шт."/>
    <s v="нед."/>
    <s v="Банк"/>
    <m/>
    <x v="0"/>
    <m/>
  </r>
  <r>
    <x v="7"/>
    <n v="1275"/>
    <x v="37"/>
    <x v="36"/>
    <x v="0"/>
    <s v="шт."/>
    <s v="нед."/>
    <s v="Банк"/>
    <m/>
    <x v="0"/>
    <m/>
  </r>
  <r>
    <x v="8"/>
    <n v="1337"/>
    <x v="37"/>
    <x v="36"/>
    <x v="0"/>
    <s v="шт."/>
    <s v="нед."/>
    <s v="Банк"/>
    <m/>
    <x v="0"/>
    <m/>
  </r>
  <r>
    <x v="9"/>
    <n v="1437"/>
    <x v="37"/>
    <x v="36"/>
    <x v="0"/>
    <s v="шт."/>
    <s v="нед."/>
    <s v="Банк"/>
    <m/>
    <x v="0"/>
    <m/>
  </r>
  <r>
    <x v="10"/>
    <n v="1243"/>
    <x v="37"/>
    <x v="36"/>
    <x v="0"/>
    <s v="шт."/>
    <s v="нед."/>
    <s v="Банк"/>
    <m/>
    <x v="0"/>
    <m/>
  </r>
  <r>
    <x v="11"/>
    <n v="1470"/>
    <x v="37"/>
    <x v="36"/>
    <x v="0"/>
    <s v="шт."/>
    <s v="нед."/>
    <s v="Банк"/>
    <m/>
    <x v="0"/>
    <m/>
  </r>
  <r>
    <x v="12"/>
    <n v="1391"/>
    <x v="37"/>
    <x v="36"/>
    <x v="0"/>
    <s v="шт."/>
    <s v="нед."/>
    <s v="Банк"/>
    <m/>
    <x v="0"/>
    <m/>
  </r>
  <r>
    <x v="13"/>
    <n v="1369"/>
    <x v="37"/>
    <x v="36"/>
    <x v="0"/>
    <s v="шт."/>
    <s v="нед."/>
    <s v="Банк"/>
    <m/>
    <x v="0"/>
    <m/>
  </r>
  <r>
    <x v="14"/>
    <n v="949"/>
    <x v="37"/>
    <x v="36"/>
    <x v="0"/>
    <s v="шт."/>
    <s v="нед."/>
    <s v="Банк"/>
    <m/>
    <x v="0"/>
    <m/>
  </r>
  <r>
    <x v="15"/>
    <n v="1046"/>
    <x v="37"/>
    <x v="36"/>
    <x v="0"/>
    <s v="шт."/>
    <s v="нед."/>
    <s v="Банк"/>
    <m/>
    <x v="0"/>
    <m/>
  </r>
  <r>
    <x v="16"/>
    <n v="1299"/>
    <x v="37"/>
    <x v="36"/>
    <x v="0"/>
    <s v="шт."/>
    <s v="нед."/>
    <s v="Банк"/>
    <m/>
    <x v="0"/>
    <m/>
  </r>
  <r>
    <x v="17"/>
    <n v="1610"/>
    <x v="37"/>
    <x v="36"/>
    <x v="0"/>
    <s v="шт."/>
    <s v="нед."/>
    <s v="Банк"/>
    <m/>
    <x v="0"/>
    <m/>
  </r>
  <r>
    <x v="18"/>
    <n v="1335"/>
    <x v="37"/>
    <x v="36"/>
    <x v="0"/>
    <s v="шт."/>
    <s v="нед."/>
    <s v="Банк"/>
    <m/>
    <x v="0"/>
    <m/>
  </r>
  <r>
    <x v="19"/>
    <n v="1258"/>
    <x v="37"/>
    <x v="36"/>
    <x v="0"/>
    <s v="шт."/>
    <s v="нед."/>
    <s v="Банк"/>
    <m/>
    <x v="0"/>
    <m/>
  </r>
  <r>
    <x v="20"/>
    <n v="1347"/>
    <x v="37"/>
    <x v="36"/>
    <x v="0"/>
    <s v="шт."/>
    <s v="нед."/>
    <s v="Банк"/>
    <m/>
    <x v="0"/>
    <m/>
  </r>
  <r>
    <x v="21"/>
    <n v="1180"/>
    <x v="37"/>
    <x v="36"/>
    <x v="0"/>
    <s v="шт."/>
    <s v="нед."/>
    <s v="Банк"/>
    <m/>
    <x v="0"/>
    <m/>
  </r>
  <r>
    <x v="22"/>
    <n v="1237"/>
    <x v="37"/>
    <x v="36"/>
    <x v="0"/>
    <s v="шт."/>
    <s v="нед."/>
    <s v="Банк"/>
    <m/>
    <x v="0"/>
    <m/>
  </r>
  <r>
    <x v="23"/>
    <n v="1164"/>
    <x v="37"/>
    <x v="36"/>
    <x v="0"/>
    <s v="шт."/>
    <s v="нед."/>
    <s v="Банк"/>
    <m/>
    <x v="0"/>
    <m/>
  </r>
  <r>
    <x v="24"/>
    <n v="1064"/>
    <x v="37"/>
    <x v="36"/>
    <x v="0"/>
    <s v="шт."/>
    <s v="нед."/>
    <s v="Банк"/>
    <m/>
    <x v="0"/>
    <m/>
  </r>
  <r>
    <x v="25"/>
    <n v="933"/>
    <x v="37"/>
    <x v="36"/>
    <x v="0"/>
    <s v="шт."/>
    <s v="нед."/>
    <s v="Банк"/>
    <m/>
    <x v="0"/>
    <m/>
  </r>
  <r>
    <x v="26"/>
    <n v="1000"/>
    <x v="37"/>
    <x v="36"/>
    <x v="0"/>
    <s v="шт."/>
    <s v="нед."/>
    <s v="Банк"/>
    <m/>
    <x v="0"/>
    <m/>
  </r>
  <r>
    <x v="27"/>
    <n v="908"/>
    <x v="37"/>
    <x v="36"/>
    <x v="0"/>
    <s v="шт."/>
    <s v="нед."/>
    <s v="Банк"/>
    <m/>
    <x v="0"/>
    <m/>
  </r>
  <r>
    <x v="28"/>
    <n v="999"/>
    <x v="37"/>
    <x v="36"/>
    <x v="0"/>
    <s v="шт."/>
    <s v="нед."/>
    <s v="Банк"/>
    <m/>
    <x v="0"/>
    <m/>
  </r>
  <r>
    <x v="29"/>
    <n v="801"/>
    <x v="37"/>
    <x v="36"/>
    <x v="0"/>
    <s v="шт."/>
    <s v="нед."/>
    <s v="Банк"/>
    <m/>
    <x v="0"/>
    <m/>
  </r>
  <r>
    <x v="30"/>
    <n v="840"/>
    <x v="37"/>
    <x v="36"/>
    <x v="0"/>
    <s v="шт."/>
    <s v="нед."/>
    <s v="Банк"/>
    <m/>
    <x v="0"/>
    <m/>
  </r>
  <r>
    <x v="0"/>
    <n v="381"/>
    <x v="38"/>
    <x v="35"/>
    <x v="1"/>
    <s v="шт."/>
    <s v="нед."/>
    <s v="Банк"/>
    <m/>
    <x v="1"/>
    <m/>
  </r>
  <r>
    <x v="1"/>
    <n v="240"/>
    <x v="38"/>
    <x v="35"/>
    <x v="1"/>
    <s v="шт."/>
    <s v="нед."/>
    <s v="Банк"/>
    <m/>
    <x v="1"/>
    <m/>
  </r>
  <r>
    <x v="2"/>
    <n v="478"/>
    <x v="38"/>
    <x v="35"/>
    <x v="1"/>
    <s v="шт."/>
    <s v="нед."/>
    <s v="Банк"/>
    <m/>
    <x v="1"/>
    <m/>
  </r>
  <r>
    <x v="3"/>
    <n v="307"/>
    <x v="38"/>
    <x v="35"/>
    <x v="1"/>
    <s v="шт."/>
    <s v="нед."/>
    <s v="Банк"/>
    <m/>
    <x v="1"/>
    <m/>
  </r>
  <r>
    <x v="4"/>
    <n v="417"/>
    <x v="38"/>
    <x v="35"/>
    <x v="1"/>
    <s v="шт."/>
    <s v="нед."/>
    <s v="Банк"/>
    <m/>
    <x v="1"/>
    <m/>
  </r>
  <r>
    <x v="5"/>
    <n v="218"/>
    <x v="38"/>
    <x v="35"/>
    <x v="1"/>
    <s v="шт."/>
    <s v="нед."/>
    <s v="Банк"/>
    <m/>
    <x v="1"/>
    <m/>
  </r>
  <r>
    <x v="7"/>
    <n v="329"/>
    <x v="38"/>
    <x v="35"/>
    <x v="1"/>
    <s v="шт."/>
    <s v="нед."/>
    <s v="Банк"/>
    <m/>
    <x v="1"/>
    <m/>
  </r>
  <r>
    <x v="8"/>
    <n v="310"/>
    <x v="38"/>
    <x v="35"/>
    <x v="1"/>
    <s v="шт."/>
    <s v="нед."/>
    <s v="Банк"/>
    <m/>
    <x v="1"/>
    <m/>
  </r>
  <r>
    <x v="9"/>
    <n v="412"/>
    <x v="38"/>
    <x v="35"/>
    <x v="1"/>
    <s v="шт."/>
    <s v="нед."/>
    <s v="Банк"/>
    <m/>
    <x v="1"/>
    <m/>
  </r>
  <r>
    <x v="10"/>
    <n v="215"/>
    <x v="38"/>
    <x v="35"/>
    <x v="1"/>
    <s v="шт."/>
    <s v="нед."/>
    <s v="Банк"/>
    <m/>
    <x v="1"/>
    <m/>
  </r>
  <r>
    <x v="11"/>
    <n v="349"/>
    <x v="38"/>
    <x v="35"/>
    <x v="1"/>
    <s v="шт."/>
    <s v="нед."/>
    <s v="Банк"/>
    <m/>
    <x v="1"/>
    <m/>
  </r>
  <r>
    <x v="12"/>
    <n v="345"/>
    <x v="38"/>
    <x v="35"/>
    <x v="1"/>
    <s v="шт."/>
    <s v="нед."/>
    <s v="Банк"/>
    <m/>
    <x v="1"/>
    <m/>
  </r>
  <r>
    <x v="13"/>
    <n v="422"/>
    <x v="38"/>
    <x v="35"/>
    <x v="1"/>
    <s v="шт."/>
    <s v="нед."/>
    <s v="Банк"/>
    <m/>
    <x v="1"/>
    <m/>
  </r>
  <r>
    <x v="14"/>
    <n v="261"/>
    <x v="38"/>
    <x v="35"/>
    <x v="1"/>
    <s v="шт."/>
    <s v="нед."/>
    <s v="Банк"/>
    <m/>
    <x v="1"/>
    <m/>
  </r>
  <r>
    <x v="15"/>
    <n v="560"/>
    <x v="38"/>
    <x v="35"/>
    <x v="1"/>
    <s v="шт."/>
    <s v="нед."/>
    <s v="Банк"/>
    <m/>
    <x v="1"/>
    <m/>
  </r>
  <r>
    <x v="16"/>
    <n v="879"/>
    <x v="38"/>
    <x v="35"/>
    <x v="1"/>
    <s v="шт."/>
    <s v="нед."/>
    <s v="Банк"/>
    <m/>
    <x v="1"/>
    <m/>
  </r>
  <r>
    <x v="17"/>
    <n v="897"/>
    <x v="38"/>
    <x v="35"/>
    <x v="1"/>
    <s v="шт."/>
    <s v="нед."/>
    <s v="Банк"/>
    <m/>
    <x v="1"/>
    <m/>
  </r>
  <r>
    <x v="18"/>
    <n v="738"/>
    <x v="38"/>
    <x v="35"/>
    <x v="1"/>
    <s v="шт."/>
    <s v="нед."/>
    <s v="Банк"/>
    <m/>
    <x v="1"/>
    <m/>
  </r>
  <r>
    <x v="19"/>
    <n v="598"/>
    <x v="38"/>
    <x v="35"/>
    <x v="1"/>
    <s v="шт."/>
    <s v="нед."/>
    <s v="Банк"/>
    <m/>
    <x v="1"/>
    <m/>
  </r>
  <r>
    <x v="20"/>
    <n v="601"/>
    <x v="38"/>
    <x v="35"/>
    <x v="1"/>
    <s v="шт."/>
    <s v="нед."/>
    <s v="Банк"/>
    <m/>
    <x v="1"/>
    <m/>
  </r>
  <r>
    <x v="21"/>
    <n v="430"/>
    <x v="38"/>
    <x v="35"/>
    <x v="1"/>
    <s v="шт."/>
    <s v="нед."/>
    <s v="Банк"/>
    <m/>
    <x v="1"/>
    <m/>
  </r>
  <r>
    <x v="22"/>
    <n v="560"/>
    <x v="38"/>
    <x v="35"/>
    <x v="1"/>
    <s v="шт."/>
    <s v="нед."/>
    <s v="Банк"/>
    <m/>
    <x v="1"/>
    <m/>
  </r>
  <r>
    <x v="23"/>
    <n v="454"/>
    <x v="38"/>
    <x v="35"/>
    <x v="1"/>
    <s v="шт."/>
    <s v="нед."/>
    <s v="Банк"/>
    <m/>
    <x v="1"/>
    <m/>
  </r>
  <r>
    <x v="24"/>
    <n v="314"/>
    <x v="38"/>
    <x v="35"/>
    <x v="1"/>
    <s v="шт."/>
    <s v="нед."/>
    <s v="Банк"/>
    <m/>
    <x v="1"/>
    <m/>
  </r>
  <r>
    <x v="25"/>
    <n v="336"/>
    <x v="38"/>
    <x v="35"/>
    <x v="1"/>
    <s v="шт."/>
    <s v="нед."/>
    <s v="Банк"/>
    <m/>
    <x v="1"/>
    <m/>
  </r>
  <r>
    <x v="26"/>
    <n v="419"/>
    <x v="38"/>
    <x v="35"/>
    <x v="1"/>
    <s v="шт."/>
    <s v="нед."/>
    <s v="Банк"/>
    <m/>
    <x v="1"/>
    <m/>
  </r>
  <r>
    <x v="27"/>
    <n v="499"/>
    <x v="38"/>
    <x v="35"/>
    <x v="1"/>
    <s v="шт."/>
    <s v="нед."/>
    <s v="Банк"/>
    <m/>
    <x v="1"/>
    <m/>
  </r>
  <r>
    <x v="28"/>
    <n v="503"/>
    <x v="38"/>
    <x v="35"/>
    <x v="1"/>
    <s v="шт."/>
    <s v="нед."/>
    <s v="Банк"/>
    <m/>
    <x v="1"/>
    <m/>
  </r>
  <r>
    <x v="29"/>
    <n v="342"/>
    <x v="38"/>
    <x v="35"/>
    <x v="1"/>
    <s v="шт."/>
    <s v="нед."/>
    <s v="Банк"/>
    <m/>
    <x v="1"/>
    <m/>
  </r>
  <r>
    <x v="30"/>
    <n v="378"/>
    <x v="38"/>
    <x v="35"/>
    <x v="1"/>
    <s v="шт."/>
    <s v="нед."/>
    <s v="Банк"/>
    <m/>
    <x v="1"/>
    <m/>
  </r>
  <r>
    <x v="0"/>
    <n v="188"/>
    <x v="39"/>
    <x v="36"/>
    <x v="1"/>
    <s v="шт."/>
    <s v="нед."/>
    <s v="Банк"/>
    <m/>
    <x v="1"/>
    <m/>
  </r>
  <r>
    <x v="1"/>
    <n v="229"/>
    <x v="39"/>
    <x v="36"/>
    <x v="1"/>
    <s v="шт."/>
    <s v="нед."/>
    <s v="Банк"/>
    <m/>
    <x v="1"/>
    <m/>
  </r>
  <r>
    <x v="2"/>
    <n v="340"/>
    <x v="39"/>
    <x v="36"/>
    <x v="1"/>
    <s v="шт."/>
    <s v="нед."/>
    <s v="Банк"/>
    <m/>
    <x v="1"/>
    <m/>
  </r>
  <r>
    <x v="3"/>
    <n v="283"/>
    <x v="39"/>
    <x v="36"/>
    <x v="1"/>
    <s v="шт."/>
    <s v="нед."/>
    <s v="Банк"/>
    <m/>
    <x v="1"/>
    <m/>
  </r>
  <r>
    <x v="4"/>
    <n v="359"/>
    <x v="39"/>
    <x v="36"/>
    <x v="1"/>
    <s v="шт."/>
    <s v="нед."/>
    <s v="Банк"/>
    <m/>
    <x v="1"/>
    <m/>
  </r>
  <r>
    <x v="5"/>
    <n v="282"/>
    <x v="39"/>
    <x v="36"/>
    <x v="1"/>
    <s v="шт."/>
    <s v="нед."/>
    <s v="Банк"/>
    <m/>
    <x v="1"/>
    <m/>
  </r>
  <r>
    <x v="7"/>
    <n v="369"/>
    <x v="39"/>
    <x v="36"/>
    <x v="1"/>
    <s v="шт."/>
    <s v="нед."/>
    <s v="Банк"/>
    <m/>
    <x v="1"/>
    <m/>
  </r>
  <r>
    <x v="8"/>
    <n v="369"/>
    <x v="39"/>
    <x v="36"/>
    <x v="1"/>
    <s v="шт."/>
    <s v="нед."/>
    <s v="Банк"/>
    <m/>
    <x v="1"/>
    <m/>
  </r>
  <r>
    <x v="9"/>
    <n v="407"/>
    <x v="39"/>
    <x v="36"/>
    <x v="1"/>
    <s v="шт."/>
    <s v="нед."/>
    <s v="Банк"/>
    <m/>
    <x v="1"/>
    <m/>
  </r>
  <r>
    <x v="10"/>
    <n v="262"/>
    <x v="39"/>
    <x v="36"/>
    <x v="1"/>
    <s v="шт."/>
    <s v="нед."/>
    <s v="Банк"/>
    <m/>
    <x v="1"/>
    <m/>
  </r>
  <r>
    <x v="11"/>
    <n v="360"/>
    <x v="39"/>
    <x v="36"/>
    <x v="1"/>
    <s v="шт."/>
    <s v="нед."/>
    <s v="Банк"/>
    <m/>
    <x v="1"/>
    <m/>
  </r>
  <r>
    <x v="12"/>
    <n v="348"/>
    <x v="39"/>
    <x v="36"/>
    <x v="1"/>
    <s v="шт."/>
    <s v="нед."/>
    <s v="Банк"/>
    <m/>
    <x v="1"/>
    <m/>
  </r>
  <r>
    <x v="13"/>
    <n v="375"/>
    <x v="39"/>
    <x v="36"/>
    <x v="1"/>
    <s v="шт."/>
    <s v="нед."/>
    <s v="Банк"/>
    <m/>
    <x v="1"/>
    <m/>
  </r>
  <r>
    <x v="14"/>
    <n v="281"/>
    <x v="39"/>
    <x v="36"/>
    <x v="1"/>
    <s v="шт."/>
    <s v="нед."/>
    <s v="Банк"/>
    <m/>
    <x v="1"/>
    <m/>
  </r>
  <r>
    <x v="15"/>
    <n v="390"/>
    <x v="39"/>
    <x v="36"/>
    <x v="1"/>
    <s v="шт."/>
    <s v="нед."/>
    <s v="Банк"/>
    <m/>
    <x v="1"/>
    <m/>
  </r>
  <r>
    <x v="16"/>
    <n v="418"/>
    <x v="39"/>
    <x v="36"/>
    <x v="1"/>
    <s v="шт."/>
    <s v="нед."/>
    <s v="Банк"/>
    <m/>
    <x v="1"/>
    <m/>
  </r>
  <r>
    <x v="17"/>
    <n v="504"/>
    <x v="39"/>
    <x v="36"/>
    <x v="1"/>
    <s v="шт."/>
    <s v="нед."/>
    <s v="Банк"/>
    <m/>
    <x v="1"/>
    <m/>
  </r>
  <r>
    <x v="18"/>
    <n v="390"/>
    <x v="39"/>
    <x v="36"/>
    <x v="1"/>
    <s v="шт."/>
    <s v="нед."/>
    <s v="Банк"/>
    <m/>
    <x v="1"/>
    <m/>
  </r>
  <r>
    <x v="19"/>
    <n v="397"/>
    <x v="39"/>
    <x v="36"/>
    <x v="1"/>
    <s v="шт."/>
    <s v="нед."/>
    <s v="Банк"/>
    <m/>
    <x v="1"/>
    <m/>
  </r>
  <r>
    <x v="20"/>
    <n v="382"/>
    <x v="39"/>
    <x v="36"/>
    <x v="1"/>
    <s v="шт."/>
    <s v="нед."/>
    <s v="Банк"/>
    <m/>
    <x v="1"/>
    <m/>
  </r>
  <r>
    <x v="21"/>
    <n v="297"/>
    <x v="39"/>
    <x v="36"/>
    <x v="1"/>
    <s v="шт."/>
    <s v="нед."/>
    <s v="Банк"/>
    <m/>
    <x v="1"/>
    <m/>
  </r>
  <r>
    <x v="22"/>
    <n v="383"/>
    <x v="39"/>
    <x v="36"/>
    <x v="1"/>
    <s v="шт."/>
    <s v="нед."/>
    <s v="Банк"/>
    <m/>
    <x v="1"/>
    <m/>
  </r>
  <r>
    <x v="23"/>
    <n v="296"/>
    <x v="39"/>
    <x v="36"/>
    <x v="1"/>
    <s v="шт."/>
    <s v="нед."/>
    <s v="Банк"/>
    <m/>
    <x v="1"/>
    <m/>
  </r>
  <r>
    <x v="24"/>
    <n v="208"/>
    <x v="39"/>
    <x v="36"/>
    <x v="1"/>
    <s v="шт."/>
    <s v="нед."/>
    <s v="Банк"/>
    <m/>
    <x v="1"/>
    <m/>
  </r>
  <r>
    <x v="25"/>
    <n v="175"/>
    <x v="39"/>
    <x v="36"/>
    <x v="1"/>
    <s v="шт."/>
    <s v="нед."/>
    <s v="Банк"/>
    <m/>
    <x v="1"/>
    <m/>
  </r>
  <r>
    <x v="26"/>
    <n v="250"/>
    <x v="39"/>
    <x v="36"/>
    <x v="1"/>
    <s v="шт."/>
    <s v="нед."/>
    <s v="Банк"/>
    <m/>
    <x v="1"/>
    <m/>
  </r>
  <r>
    <x v="27"/>
    <n v="217"/>
    <x v="39"/>
    <x v="36"/>
    <x v="1"/>
    <s v="шт."/>
    <s v="нед."/>
    <s v="Банк"/>
    <m/>
    <x v="1"/>
    <m/>
  </r>
  <r>
    <x v="28"/>
    <n v="306"/>
    <x v="39"/>
    <x v="36"/>
    <x v="1"/>
    <s v="шт."/>
    <s v="нед."/>
    <s v="Банк"/>
    <m/>
    <x v="1"/>
    <m/>
  </r>
  <r>
    <x v="29"/>
    <n v="208"/>
    <x v="39"/>
    <x v="36"/>
    <x v="1"/>
    <s v="шт."/>
    <s v="нед."/>
    <s v="Банк"/>
    <m/>
    <x v="1"/>
    <m/>
  </r>
  <r>
    <x v="30"/>
    <n v="242"/>
    <x v="39"/>
    <x v="36"/>
    <x v="1"/>
    <s v="шт."/>
    <s v="нед."/>
    <s v="Банк"/>
    <m/>
    <x v="1"/>
    <m/>
  </r>
  <r>
    <x v="2"/>
    <n v="86"/>
    <x v="40"/>
    <x v="37"/>
    <x v="2"/>
    <s v="шт."/>
    <s v="нед."/>
    <s v="Банк"/>
    <m/>
    <x v="0"/>
    <s v="Другое"/>
  </r>
  <r>
    <x v="2"/>
    <n v="124"/>
    <x v="40"/>
    <x v="37"/>
    <x v="2"/>
    <s v="шт."/>
    <s v="нед."/>
    <s v="Банк"/>
    <m/>
    <x v="0"/>
    <s v="Комментарии к выполненным мероприятиям"/>
  </r>
  <r>
    <x v="2"/>
    <n v="3"/>
    <x v="40"/>
    <x v="37"/>
    <x v="2"/>
    <s v="шт."/>
    <s v="нед."/>
    <s v="Банк"/>
    <m/>
    <x v="0"/>
    <s v="Обратная связь по интерфейсу"/>
  </r>
  <r>
    <x v="2"/>
    <n v="24"/>
    <x v="40"/>
    <x v="37"/>
    <x v="2"/>
    <s v="шт."/>
    <s v="нед."/>
    <s v="Банк"/>
    <m/>
    <x v="0"/>
    <s v="Обратная связь по предлагаемым действиям"/>
  </r>
  <r>
    <x v="2"/>
    <n v="78"/>
    <x v="40"/>
    <x v="37"/>
    <x v="2"/>
    <s v="шт."/>
    <s v="нед."/>
    <s v="Банк"/>
    <m/>
    <x v="0"/>
    <s v="Обратная связь по расчетам отклонения"/>
  </r>
  <r>
    <x v="2"/>
    <n v="250"/>
    <x v="40"/>
    <x v="37"/>
    <x v="2"/>
    <s v="шт."/>
    <s v="нед."/>
    <s v="Банк"/>
    <m/>
    <x v="0"/>
    <s v="Другое"/>
  </r>
  <r>
    <x v="2"/>
    <n v="155"/>
    <x v="40"/>
    <x v="37"/>
    <x v="2"/>
    <s v="шт."/>
    <s v="нед."/>
    <s v="Банк"/>
    <m/>
    <x v="0"/>
    <s v="Комментарии к выполненным мероприятиям"/>
  </r>
  <r>
    <x v="2"/>
    <n v="9"/>
    <x v="40"/>
    <x v="37"/>
    <x v="2"/>
    <s v="шт."/>
    <s v="нед."/>
    <s v="Банк"/>
    <m/>
    <x v="0"/>
    <s v="Обратная связь по интерфейсу"/>
  </r>
  <r>
    <x v="2"/>
    <n v="47"/>
    <x v="40"/>
    <x v="37"/>
    <x v="2"/>
    <s v="шт."/>
    <s v="нед."/>
    <s v="Банк"/>
    <m/>
    <x v="0"/>
    <s v="Обратная связь по предлагаемым действиям"/>
  </r>
  <r>
    <x v="2"/>
    <n v="148"/>
    <x v="40"/>
    <x v="37"/>
    <x v="2"/>
    <s v="шт."/>
    <s v="нед."/>
    <s v="Банк"/>
    <m/>
    <x v="0"/>
    <s v="Обратная связь по расчетам отклонения"/>
  </r>
  <r>
    <x v="3"/>
    <n v="331"/>
    <x v="40"/>
    <x v="37"/>
    <x v="2"/>
    <s v="шт."/>
    <s v="нед."/>
    <s v="Банк"/>
    <m/>
    <x v="0"/>
    <s v="Другое"/>
  </r>
  <r>
    <x v="3"/>
    <n v="340"/>
    <x v="40"/>
    <x v="37"/>
    <x v="2"/>
    <s v="шт."/>
    <s v="нед."/>
    <s v="Банк"/>
    <m/>
    <x v="0"/>
    <s v="Комментарии к выполненным мероприятиям"/>
  </r>
  <r>
    <x v="3"/>
    <n v="13"/>
    <x v="40"/>
    <x v="37"/>
    <x v="2"/>
    <s v="шт."/>
    <s v="нед."/>
    <s v="Банк"/>
    <m/>
    <x v="0"/>
    <s v="Обратная связь по интерфейсу"/>
  </r>
  <r>
    <x v="3"/>
    <n v="65"/>
    <x v="40"/>
    <x v="37"/>
    <x v="2"/>
    <s v="шт."/>
    <s v="нед."/>
    <s v="Банк"/>
    <m/>
    <x v="0"/>
    <s v="Обратная связь по предлагаемым действиям"/>
  </r>
  <r>
    <x v="3"/>
    <n v="238"/>
    <x v="40"/>
    <x v="37"/>
    <x v="2"/>
    <s v="шт."/>
    <s v="нед."/>
    <s v="Банк"/>
    <m/>
    <x v="0"/>
    <s v="Обратная связь по расчетам отклонения"/>
  </r>
  <r>
    <x v="4"/>
    <n v="276"/>
    <x v="40"/>
    <x v="37"/>
    <x v="2"/>
    <s v="шт."/>
    <s v="нед."/>
    <s v="Банк"/>
    <m/>
    <x v="0"/>
    <s v="Другое"/>
  </r>
  <r>
    <x v="4"/>
    <n v="314"/>
    <x v="40"/>
    <x v="37"/>
    <x v="2"/>
    <s v="шт."/>
    <s v="нед."/>
    <s v="Банк"/>
    <m/>
    <x v="0"/>
    <s v="Комментарии к выполненным мероприятиям"/>
  </r>
  <r>
    <x v="4"/>
    <n v="8"/>
    <x v="40"/>
    <x v="37"/>
    <x v="2"/>
    <s v="шт."/>
    <s v="нед."/>
    <s v="Банк"/>
    <m/>
    <x v="0"/>
    <s v="Обратная связь по интерфейсу"/>
  </r>
  <r>
    <x v="4"/>
    <n v="79"/>
    <x v="40"/>
    <x v="37"/>
    <x v="2"/>
    <s v="шт."/>
    <s v="нед."/>
    <s v="Банк"/>
    <m/>
    <x v="0"/>
    <s v="Обратная связь по предлагаемым действиям"/>
  </r>
  <r>
    <x v="4"/>
    <n v="220"/>
    <x v="40"/>
    <x v="37"/>
    <x v="2"/>
    <s v="шт."/>
    <s v="нед."/>
    <s v="Банк"/>
    <m/>
    <x v="0"/>
    <s v="Обратная связь по расчетам отклонения"/>
  </r>
  <r>
    <x v="5"/>
    <n v="292"/>
    <x v="40"/>
    <x v="37"/>
    <x v="2"/>
    <s v="шт."/>
    <s v="нед."/>
    <s v="Банк"/>
    <m/>
    <x v="0"/>
    <s v="Другое"/>
  </r>
  <r>
    <x v="5"/>
    <n v="297"/>
    <x v="40"/>
    <x v="37"/>
    <x v="2"/>
    <s v="шт."/>
    <s v="нед."/>
    <s v="Банк"/>
    <m/>
    <x v="0"/>
    <s v="Комментарии к выполненным мероприятиям"/>
  </r>
  <r>
    <x v="5"/>
    <n v="6"/>
    <x v="40"/>
    <x v="37"/>
    <x v="2"/>
    <s v="шт."/>
    <s v="нед."/>
    <s v="Банк"/>
    <m/>
    <x v="0"/>
    <s v="Обратная связь по интерфейсу"/>
  </r>
  <r>
    <x v="5"/>
    <n v="77"/>
    <x v="40"/>
    <x v="37"/>
    <x v="2"/>
    <s v="шт."/>
    <s v="нед."/>
    <s v="Банк"/>
    <m/>
    <x v="0"/>
    <s v="Обратная связь по предлагаемым действиям"/>
  </r>
  <r>
    <x v="5"/>
    <n v="182"/>
    <x v="40"/>
    <x v="37"/>
    <x v="2"/>
    <s v="шт."/>
    <s v="нед."/>
    <s v="Банк"/>
    <m/>
    <x v="0"/>
    <s v="Обратная связь по расчетам отклонения"/>
  </r>
  <r>
    <x v="6"/>
    <n v="239"/>
    <x v="40"/>
    <x v="37"/>
    <x v="2"/>
    <s v="шт."/>
    <s v="нед."/>
    <s v="Банк"/>
    <m/>
    <x v="0"/>
    <s v="Другое"/>
  </r>
  <r>
    <x v="6"/>
    <n v="230"/>
    <x v="40"/>
    <x v="37"/>
    <x v="2"/>
    <s v="шт."/>
    <s v="нед."/>
    <s v="Банк"/>
    <m/>
    <x v="0"/>
    <s v="Комментарии к выполненным мероприятиям"/>
  </r>
  <r>
    <x v="6"/>
    <n v="4"/>
    <x v="40"/>
    <x v="37"/>
    <x v="2"/>
    <s v="шт."/>
    <s v="нед."/>
    <s v="Банк"/>
    <m/>
    <x v="0"/>
    <s v="Обратная связь по интерфейсу"/>
  </r>
  <r>
    <x v="6"/>
    <n v="67"/>
    <x v="40"/>
    <x v="37"/>
    <x v="2"/>
    <s v="шт."/>
    <s v="нед."/>
    <s v="Банк"/>
    <m/>
    <x v="0"/>
    <s v="Обратная связь по предлагаемым действиям"/>
  </r>
  <r>
    <x v="6"/>
    <n v="148"/>
    <x v="40"/>
    <x v="37"/>
    <x v="2"/>
    <s v="шт."/>
    <s v="нед."/>
    <s v="Банк"/>
    <m/>
    <x v="0"/>
    <s v="Обратная связь по расчетам отклонения"/>
  </r>
  <r>
    <x v="7"/>
    <n v="238"/>
    <x v="40"/>
    <x v="37"/>
    <x v="2"/>
    <s v="шт."/>
    <s v="нед."/>
    <s v="Банк"/>
    <m/>
    <x v="0"/>
    <s v="Другое"/>
  </r>
  <r>
    <x v="7"/>
    <n v="223"/>
    <x v="40"/>
    <x v="37"/>
    <x v="2"/>
    <s v="шт."/>
    <s v="нед."/>
    <s v="Банк"/>
    <m/>
    <x v="0"/>
    <s v="Комментарии к выполненным мероприятиям"/>
  </r>
  <r>
    <x v="7"/>
    <n v="11"/>
    <x v="40"/>
    <x v="37"/>
    <x v="2"/>
    <s v="шт."/>
    <s v="нед."/>
    <s v="Банк"/>
    <m/>
    <x v="0"/>
    <s v="Обратная связь по интерфейсу"/>
  </r>
  <r>
    <x v="7"/>
    <n v="53"/>
    <x v="40"/>
    <x v="37"/>
    <x v="2"/>
    <s v="шт."/>
    <s v="нед."/>
    <s v="Банк"/>
    <m/>
    <x v="0"/>
    <s v="Обратная связь по предлагаемым действиям"/>
  </r>
  <r>
    <x v="7"/>
    <n v="158"/>
    <x v="40"/>
    <x v="37"/>
    <x v="2"/>
    <s v="шт."/>
    <s v="нед."/>
    <s v="Банк"/>
    <m/>
    <x v="0"/>
    <s v="Обратная связь по расчетам отклонения"/>
  </r>
  <r>
    <x v="8"/>
    <n v="278"/>
    <x v="40"/>
    <x v="37"/>
    <x v="2"/>
    <s v="шт."/>
    <s v="нед."/>
    <s v="Банк"/>
    <m/>
    <x v="0"/>
    <s v="Другое"/>
  </r>
  <r>
    <x v="8"/>
    <n v="279"/>
    <x v="40"/>
    <x v="37"/>
    <x v="2"/>
    <s v="шт."/>
    <s v="нед."/>
    <s v="Банк"/>
    <m/>
    <x v="0"/>
    <s v="Комментарии к выполненным мероприятиям"/>
  </r>
  <r>
    <x v="8"/>
    <n v="6"/>
    <x v="40"/>
    <x v="37"/>
    <x v="2"/>
    <s v="шт."/>
    <s v="нед."/>
    <s v="Банк"/>
    <m/>
    <x v="0"/>
    <s v="Обратная связь по интерфейсу"/>
  </r>
  <r>
    <x v="8"/>
    <n v="67"/>
    <x v="40"/>
    <x v="37"/>
    <x v="2"/>
    <s v="шт."/>
    <s v="нед."/>
    <s v="Банк"/>
    <m/>
    <x v="0"/>
    <s v="Обратная связь по предлагаемым действиям"/>
  </r>
  <r>
    <x v="8"/>
    <n v="176"/>
    <x v="40"/>
    <x v="37"/>
    <x v="2"/>
    <s v="шт."/>
    <s v="нед."/>
    <s v="Банк"/>
    <m/>
    <x v="0"/>
    <s v="Обратная связь по расчетам отклонения"/>
  </r>
  <r>
    <x v="9"/>
    <n v="218"/>
    <x v="40"/>
    <x v="37"/>
    <x v="2"/>
    <s v="шт."/>
    <s v="нед."/>
    <s v="Банк"/>
    <m/>
    <x v="0"/>
    <s v="Другое"/>
  </r>
  <r>
    <x v="9"/>
    <n v="216"/>
    <x v="40"/>
    <x v="37"/>
    <x v="2"/>
    <s v="шт."/>
    <s v="нед."/>
    <s v="Банк"/>
    <m/>
    <x v="0"/>
    <s v="Комментарии к выполненным мероприятиям"/>
  </r>
  <r>
    <x v="9"/>
    <n v="4"/>
    <x v="40"/>
    <x v="37"/>
    <x v="2"/>
    <s v="шт."/>
    <s v="нед."/>
    <s v="Банк"/>
    <m/>
    <x v="0"/>
    <s v="Обратная связь по интерфейсу"/>
  </r>
  <r>
    <x v="9"/>
    <n v="49"/>
    <x v="40"/>
    <x v="37"/>
    <x v="2"/>
    <s v="шт."/>
    <s v="нед."/>
    <s v="Банк"/>
    <m/>
    <x v="0"/>
    <s v="Обратная связь по предлагаемым действиям"/>
  </r>
  <r>
    <x v="9"/>
    <n v="147"/>
    <x v="40"/>
    <x v="37"/>
    <x v="2"/>
    <s v="шт."/>
    <s v="нед."/>
    <s v="Банк"/>
    <m/>
    <x v="0"/>
    <s v="Обратная связь по расчетам отклонения"/>
  </r>
  <r>
    <x v="10"/>
    <n v="206"/>
    <x v="40"/>
    <x v="37"/>
    <x v="2"/>
    <s v="шт."/>
    <s v="нед."/>
    <s v="Банк"/>
    <m/>
    <x v="0"/>
    <s v="Другое"/>
  </r>
  <r>
    <x v="10"/>
    <n v="211"/>
    <x v="40"/>
    <x v="37"/>
    <x v="2"/>
    <s v="шт."/>
    <s v="нед."/>
    <s v="Банк"/>
    <m/>
    <x v="0"/>
    <s v="Комментарии к выполненным мероприятиям"/>
  </r>
  <r>
    <x v="10"/>
    <n v="7"/>
    <x v="40"/>
    <x v="37"/>
    <x v="2"/>
    <s v="шт."/>
    <s v="нед."/>
    <s v="Банк"/>
    <m/>
    <x v="0"/>
    <s v="Обратная связь по интерфейсу"/>
  </r>
  <r>
    <x v="10"/>
    <n v="36"/>
    <x v="40"/>
    <x v="37"/>
    <x v="2"/>
    <s v="шт."/>
    <s v="нед."/>
    <s v="Банк"/>
    <m/>
    <x v="0"/>
    <s v="Обратная связь по предлагаемым действиям"/>
  </r>
  <r>
    <x v="10"/>
    <n v="144"/>
    <x v="40"/>
    <x v="37"/>
    <x v="2"/>
    <s v="шт."/>
    <s v="нед."/>
    <s v="Банк"/>
    <m/>
    <x v="0"/>
    <s v="Обратная связь по расчетам отклонения"/>
  </r>
  <r>
    <x v="11"/>
    <n v="292"/>
    <x v="40"/>
    <x v="37"/>
    <x v="2"/>
    <s v="шт."/>
    <s v="нед."/>
    <s v="Банк"/>
    <m/>
    <x v="0"/>
    <s v="Другое"/>
  </r>
  <r>
    <x v="11"/>
    <n v="226"/>
    <x v="40"/>
    <x v="37"/>
    <x v="2"/>
    <s v="шт."/>
    <s v="нед."/>
    <s v="Банк"/>
    <m/>
    <x v="0"/>
    <s v="Комментарии к выполненным мероприятиям"/>
  </r>
  <r>
    <x v="11"/>
    <n v="7"/>
    <x v="40"/>
    <x v="37"/>
    <x v="2"/>
    <s v="шт."/>
    <s v="нед."/>
    <s v="Банк"/>
    <m/>
    <x v="0"/>
    <s v="Обратная связь по интерфейсу"/>
  </r>
  <r>
    <x v="11"/>
    <n v="46"/>
    <x v="40"/>
    <x v="37"/>
    <x v="2"/>
    <s v="шт."/>
    <s v="нед."/>
    <s v="Банк"/>
    <m/>
    <x v="0"/>
    <s v="Обратная связь по предлагаемым действиям"/>
  </r>
  <r>
    <x v="11"/>
    <n v="243"/>
    <x v="40"/>
    <x v="37"/>
    <x v="2"/>
    <s v="шт."/>
    <s v="нед."/>
    <s v="Банк"/>
    <m/>
    <x v="0"/>
    <s v="Обратная связь по расчетам отклонения"/>
  </r>
  <r>
    <x v="12"/>
    <n v="2"/>
    <x v="40"/>
    <x v="37"/>
    <x v="2"/>
    <s v="шт."/>
    <s v="нед."/>
    <s v="Банк"/>
    <m/>
    <x v="0"/>
    <s v="ERROR"/>
  </r>
  <r>
    <x v="12"/>
    <n v="325"/>
    <x v="40"/>
    <x v="37"/>
    <x v="2"/>
    <s v="шт."/>
    <s v="нед."/>
    <s v="Банк"/>
    <m/>
    <x v="0"/>
    <s v="Другое"/>
  </r>
  <r>
    <x v="12"/>
    <n v="274"/>
    <x v="40"/>
    <x v="37"/>
    <x v="2"/>
    <s v="шт."/>
    <s v="нед."/>
    <s v="Банк"/>
    <m/>
    <x v="0"/>
    <s v="Комментарии к выполненным мероприятиям"/>
  </r>
  <r>
    <x v="12"/>
    <n v="13"/>
    <x v="40"/>
    <x v="37"/>
    <x v="2"/>
    <s v="шт."/>
    <s v="нед."/>
    <s v="Банк"/>
    <m/>
    <x v="0"/>
    <s v="Обратная связь по интерфейсу"/>
  </r>
  <r>
    <x v="12"/>
    <n v="82"/>
    <x v="40"/>
    <x v="37"/>
    <x v="2"/>
    <s v="шт."/>
    <s v="нед."/>
    <s v="Банк"/>
    <m/>
    <x v="0"/>
    <s v="Обратная связь по предлагаемым действиям"/>
  </r>
  <r>
    <x v="12"/>
    <n v="209"/>
    <x v="40"/>
    <x v="37"/>
    <x v="2"/>
    <s v="шт."/>
    <s v="нед."/>
    <s v="Банк"/>
    <m/>
    <x v="0"/>
    <s v="Обратная связь по расчетам отклонения"/>
  </r>
  <r>
    <x v="13"/>
    <n v="294"/>
    <x v="40"/>
    <x v="37"/>
    <x v="2"/>
    <s v="шт."/>
    <s v="нед."/>
    <s v="Банк"/>
    <m/>
    <x v="0"/>
    <s v="Другое"/>
  </r>
  <r>
    <x v="13"/>
    <n v="253"/>
    <x v="40"/>
    <x v="37"/>
    <x v="2"/>
    <s v="шт."/>
    <s v="нед."/>
    <s v="Банк"/>
    <m/>
    <x v="0"/>
    <s v="Комментарии к выполненным мероприятиям"/>
  </r>
  <r>
    <x v="13"/>
    <n v="7"/>
    <x v="40"/>
    <x v="37"/>
    <x v="2"/>
    <s v="шт."/>
    <s v="нед."/>
    <s v="Банк"/>
    <m/>
    <x v="0"/>
    <s v="Обратная связь по интерфейсу"/>
  </r>
  <r>
    <x v="13"/>
    <n v="55"/>
    <x v="40"/>
    <x v="37"/>
    <x v="2"/>
    <s v="шт."/>
    <s v="нед."/>
    <s v="Банк"/>
    <m/>
    <x v="0"/>
    <s v="Обратная связь по предлагаемым действиям"/>
  </r>
  <r>
    <x v="13"/>
    <n v="196"/>
    <x v="40"/>
    <x v="37"/>
    <x v="2"/>
    <s v="шт."/>
    <s v="нед."/>
    <s v="Банк"/>
    <m/>
    <x v="0"/>
    <s v="Обратная связь по расчетам отклонения"/>
  </r>
  <r>
    <x v="14"/>
    <n v="364"/>
    <x v="40"/>
    <x v="37"/>
    <x v="2"/>
    <s v="шт."/>
    <s v="нед."/>
    <s v="Банк"/>
    <m/>
    <x v="0"/>
    <s v="Другое"/>
  </r>
  <r>
    <x v="14"/>
    <n v="289"/>
    <x v="40"/>
    <x v="37"/>
    <x v="2"/>
    <s v="шт."/>
    <s v="нед."/>
    <s v="Банк"/>
    <m/>
    <x v="0"/>
    <s v="Комментарии к выполненным мероприятиям"/>
  </r>
  <r>
    <x v="14"/>
    <n v="16"/>
    <x v="40"/>
    <x v="37"/>
    <x v="2"/>
    <s v="шт."/>
    <s v="нед."/>
    <s v="Банк"/>
    <m/>
    <x v="0"/>
    <s v="Обратная связь по интерфейсу"/>
  </r>
  <r>
    <x v="14"/>
    <n v="93"/>
    <x v="40"/>
    <x v="37"/>
    <x v="2"/>
    <s v="шт."/>
    <s v="нед."/>
    <s v="Банк"/>
    <m/>
    <x v="0"/>
    <s v="Обратная связь по предлагаемым действиям"/>
  </r>
  <r>
    <x v="14"/>
    <n v="225"/>
    <x v="40"/>
    <x v="37"/>
    <x v="2"/>
    <s v="шт."/>
    <s v="нед."/>
    <s v="Банк"/>
    <m/>
    <x v="0"/>
    <s v="Обратная связь по расчетам отклонения"/>
  </r>
  <r>
    <x v="15"/>
    <n v="259"/>
    <x v="40"/>
    <x v="37"/>
    <x v="2"/>
    <s v="шт."/>
    <s v="нед."/>
    <s v="Банк"/>
    <m/>
    <x v="0"/>
    <s v="Другое"/>
  </r>
  <r>
    <x v="15"/>
    <n v="229"/>
    <x v="40"/>
    <x v="37"/>
    <x v="2"/>
    <s v="шт."/>
    <s v="нед."/>
    <s v="Банк"/>
    <m/>
    <x v="0"/>
    <s v="Комментарии к выполненным мероприятиям"/>
  </r>
  <r>
    <x v="15"/>
    <n v="7"/>
    <x v="40"/>
    <x v="37"/>
    <x v="2"/>
    <s v="шт."/>
    <s v="нед."/>
    <s v="Банк"/>
    <m/>
    <x v="0"/>
    <s v="Обратная связь по интерфейсу"/>
  </r>
  <r>
    <x v="15"/>
    <n v="53"/>
    <x v="40"/>
    <x v="37"/>
    <x v="2"/>
    <s v="шт."/>
    <s v="нед."/>
    <s v="Банк"/>
    <m/>
    <x v="0"/>
    <s v="Обратная связь по предлагаемым действиям"/>
  </r>
  <r>
    <x v="15"/>
    <n v="154"/>
    <x v="40"/>
    <x v="37"/>
    <x v="2"/>
    <s v="шт."/>
    <s v="нед."/>
    <s v="Банк"/>
    <m/>
    <x v="0"/>
    <s v="Обратная связь по расчетам отклонения"/>
  </r>
  <r>
    <x v="16"/>
    <n v="350"/>
    <x v="40"/>
    <x v="37"/>
    <x v="2"/>
    <s v="шт."/>
    <s v="нед."/>
    <s v="Банк"/>
    <m/>
    <x v="0"/>
    <s v="Другое"/>
  </r>
  <r>
    <x v="16"/>
    <n v="365"/>
    <x v="40"/>
    <x v="37"/>
    <x v="2"/>
    <s v="шт."/>
    <s v="нед."/>
    <s v="Банк"/>
    <m/>
    <x v="0"/>
    <s v="Комментарии к выполненным мероприятиям"/>
  </r>
  <r>
    <x v="16"/>
    <n v="6"/>
    <x v="40"/>
    <x v="37"/>
    <x v="2"/>
    <s v="шт."/>
    <s v="нед."/>
    <s v="Банк"/>
    <m/>
    <x v="0"/>
    <s v="Обратная связь по интерфейсу"/>
  </r>
  <r>
    <x v="16"/>
    <n v="100"/>
    <x v="40"/>
    <x v="37"/>
    <x v="2"/>
    <s v="шт."/>
    <s v="нед."/>
    <s v="Банк"/>
    <m/>
    <x v="0"/>
    <s v="Обратная связь по предлагаемым действиям"/>
  </r>
  <r>
    <x v="16"/>
    <n v="216"/>
    <x v="40"/>
    <x v="37"/>
    <x v="2"/>
    <s v="шт."/>
    <s v="нед."/>
    <s v="Банк"/>
    <m/>
    <x v="0"/>
    <s v="Обратная связь по расчетам отклонения"/>
  </r>
  <r>
    <x v="17"/>
    <n v="2"/>
    <x v="40"/>
    <x v="37"/>
    <x v="2"/>
    <s v="шт."/>
    <s v="нед."/>
    <s v="Банк"/>
    <m/>
    <x v="0"/>
    <s v="ERROR"/>
  </r>
  <r>
    <x v="17"/>
    <n v="557"/>
    <x v="40"/>
    <x v="37"/>
    <x v="2"/>
    <s v="шт."/>
    <s v="нед."/>
    <s v="Банк"/>
    <m/>
    <x v="0"/>
    <s v="Другое"/>
  </r>
  <r>
    <x v="17"/>
    <n v="532"/>
    <x v="40"/>
    <x v="37"/>
    <x v="2"/>
    <s v="шт."/>
    <s v="нед."/>
    <s v="Банк"/>
    <m/>
    <x v="0"/>
    <s v="Комментарии к выполненным мероприятиям"/>
  </r>
  <r>
    <x v="17"/>
    <n v="11"/>
    <x v="40"/>
    <x v="37"/>
    <x v="2"/>
    <s v="шт."/>
    <s v="нед."/>
    <s v="Банк"/>
    <m/>
    <x v="0"/>
    <s v="Обратная связь по интерфейсу"/>
  </r>
  <r>
    <x v="17"/>
    <n v="103"/>
    <x v="40"/>
    <x v="37"/>
    <x v="2"/>
    <s v="шт."/>
    <s v="нед."/>
    <s v="Банк"/>
    <m/>
    <x v="0"/>
    <s v="Обратная связь по предлагаемым действиям"/>
  </r>
  <r>
    <x v="17"/>
    <n v="341"/>
    <x v="40"/>
    <x v="37"/>
    <x v="2"/>
    <s v="шт."/>
    <s v="нед."/>
    <s v="Банк"/>
    <m/>
    <x v="0"/>
    <s v="Обратная связь по расчетам отклонения"/>
  </r>
  <r>
    <x v="18"/>
    <n v="119"/>
    <x v="40"/>
    <x v="37"/>
    <x v="2"/>
    <s v="шт."/>
    <s v="нед."/>
    <s v="Банк"/>
    <m/>
    <x v="0"/>
    <s v="Другое"/>
  </r>
  <r>
    <x v="18"/>
    <n v="72"/>
    <x v="40"/>
    <x v="37"/>
    <x v="2"/>
    <s v="шт."/>
    <s v="нед."/>
    <s v="Банк"/>
    <m/>
    <x v="0"/>
    <s v="Комментарии к выполненным мероприятиям"/>
  </r>
  <r>
    <x v="18"/>
    <n v="1"/>
    <x v="40"/>
    <x v="37"/>
    <x v="2"/>
    <s v="шт."/>
    <s v="нед."/>
    <s v="Банк"/>
    <m/>
    <x v="0"/>
    <s v="Обратная связь по интерфейсу"/>
  </r>
  <r>
    <x v="18"/>
    <n v="5"/>
    <x v="40"/>
    <x v="37"/>
    <x v="2"/>
    <s v="шт."/>
    <s v="нед."/>
    <s v="Банк"/>
    <m/>
    <x v="0"/>
    <s v="Обратная связь по предлагаемым действиям"/>
  </r>
  <r>
    <x v="18"/>
    <n v="56"/>
    <x v="40"/>
    <x v="37"/>
    <x v="2"/>
    <s v="шт."/>
    <s v="нед."/>
    <s v="Банк"/>
    <m/>
    <x v="0"/>
    <s v="Обратная связь по расчетам отклонения"/>
  </r>
  <r>
    <x v="19"/>
    <n v="655"/>
    <x v="40"/>
    <x v="37"/>
    <x v="2"/>
    <s v="шт."/>
    <s v="нед."/>
    <s v="Банк"/>
    <m/>
    <x v="0"/>
    <s v="Другое"/>
  </r>
  <r>
    <x v="19"/>
    <n v="431"/>
    <x v="40"/>
    <x v="37"/>
    <x v="2"/>
    <s v="шт."/>
    <s v="нед."/>
    <s v="Банк"/>
    <m/>
    <x v="0"/>
    <s v="Комментарии к выполненным мероприятиям"/>
  </r>
  <r>
    <x v="19"/>
    <n v="10"/>
    <x v="40"/>
    <x v="37"/>
    <x v="2"/>
    <s v="шт."/>
    <s v="нед."/>
    <s v="Банк"/>
    <m/>
    <x v="0"/>
    <s v="Обратная связь по интерфейсу"/>
  </r>
  <r>
    <x v="19"/>
    <n v="108"/>
    <x v="40"/>
    <x v="37"/>
    <x v="2"/>
    <s v="шт."/>
    <s v="нед."/>
    <s v="Банк"/>
    <m/>
    <x v="0"/>
    <s v="Обратная связь по предлагаемым действиям"/>
  </r>
  <r>
    <x v="19"/>
    <n v="404"/>
    <x v="40"/>
    <x v="37"/>
    <x v="2"/>
    <s v="шт."/>
    <s v="нед."/>
    <s v="Банк"/>
    <m/>
    <x v="0"/>
    <s v="Обратная связь по расчетам отклонения"/>
  </r>
  <r>
    <x v="20"/>
    <n v="1"/>
    <x v="40"/>
    <x v="37"/>
    <x v="2"/>
    <s v="шт."/>
    <s v="нед."/>
    <s v="Банк"/>
    <m/>
    <x v="0"/>
    <s v="ERROR"/>
  </r>
  <r>
    <x v="20"/>
    <n v="544"/>
    <x v="40"/>
    <x v="37"/>
    <x v="2"/>
    <s v="шт."/>
    <s v="нед."/>
    <s v="Банк"/>
    <m/>
    <x v="0"/>
    <s v="Другое"/>
  </r>
  <r>
    <x v="20"/>
    <n v="424"/>
    <x v="40"/>
    <x v="37"/>
    <x v="2"/>
    <s v="шт."/>
    <s v="нед."/>
    <s v="Банк"/>
    <m/>
    <x v="0"/>
    <s v="Комментарии к выполненным мероприятиям"/>
  </r>
  <r>
    <x v="20"/>
    <n v="13"/>
    <x v="40"/>
    <x v="37"/>
    <x v="2"/>
    <s v="шт."/>
    <s v="нед."/>
    <s v="Банк"/>
    <m/>
    <x v="0"/>
    <s v="Обратная связь по интерфейсу"/>
  </r>
  <r>
    <x v="20"/>
    <n v="88"/>
    <x v="40"/>
    <x v="37"/>
    <x v="2"/>
    <s v="шт."/>
    <s v="нед."/>
    <s v="Банк"/>
    <m/>
    <x v="0"/>
    <s v="Обратная связь по предлагаемым действиям"/>
  </r>
  <r>
    <x v="20"/>
    <n v="294"/>
    <x v="40"/>
    <x v="37"/>
    <x v="2"/>
    <s v="шт."/>
    <s v="нед."/>
    <s v="Банк"/>
    <m/>
    <x v="0"/>
    <s v="Обратная связь по расчетам отклонения"/>
  </r>
  <r>
    <x v="21"/>
    <n v="611"/>
    <x v="40"/>
    <x v="37"/>
    <x v="2"/>
    <s v="шт."/>
    <s v="нед."/>
    <s v="Банк"/>
    <m/>
    <x v="0"/>
    <s v="Другое"/>
  </r>
  <r>
    <x v="21"/>
    <n v="411"/>
    <x v="40"/>
    <x v="37"/>
    <x v="2"/>
    <s v="шт."/>
    <s v="нед."/>
    <s v="Банк"/>
    <m/>
    <x v="0"/>
    <s v="Комментарии к выполненным мероприятиям"/>
  </r>
  <r>
    <x v="21"/>
    <n v="11"/>
    <x v="40"/>
    <x v="37"/>
    <x v="2"/>
    <s v="шт."/>
    <s v="нед."/>
    <s v="Банк"/>
    <m/>
    <x v="0"/>
    <s v="Обратная связь по интерфейсу"/>
  </r>
  <r>
    <x v="21"/>
    <n v="77"/>
    <x v="40"/>
    <x v="37"/>
    <x v="2"/>
    <s v="шт."/>
    <s v="нед."/>
    <s v="Банк"/>
    <m/>
    <x v="0"/>
    <s v="Обратная связь по предлагаемым действиям"/>
  </r>
  <r>
    <x v="21"/>
    <n v="284"/>
    <x v="40"/>
    <x v="37"/>
    <x v="2"/>
    <s v="шт."/>
    <s v="нед."/>
    <s v="Банк"/>
    <m/>
    <x v="0"/>
    <s v="Обратная связь по расчетам отклонения"/>
  </r>
  <r>
    <x v="22"/>
    <n v="497"/>
    <x v="40"/>
    <x v="37"/>
    <x v="2"/>
    <s v="шт."/>
    <s v="нед."/>
    <s v="Банк"/>
    <m/>
    <x v="0"/>
    <s v="Другое"/>
  </r>
  <r>
    <x v="22"/>
    <n v="347"/>
    <x v="40"/>
    <x v="37"/>
    <x v="2"/>
    <s v="шт."/>
    <s v="нед."/>
    <s v="Банк"/>
    <m/>
    <x v="0"/>
    <s v="Комментарии к выполненным мероприятиям"/>
  </r>
  <r>
    <x v="22"/>
    <n v="10"/>
    <x v="40"/>
    <x v="37"/>
    <x v="2"/>
    <s v="шт."/>
    <s v="нед."/>
    <s v="Банк"/>
    <m/>
    <x v="0"/>
    <s v="Обратная связь по интерфейсу"/>
  </r>
  <r>
    <x v="22"/>
    <n v="66"/>
    <x v="40"/>
    <x v="37"/>
    <x v="2"/>
    <s v="шт."/>
    <s v="нед."/>
    <s v="Банк"/>
    <m/>
    <x v="0"/>
    <s v="Обратная связь по предлагаемым действиям"/>
  </r>
  <r>
    <x v="22"/>
    <n v="265"/>
    <x v="40"/>
    <x v="37"/>
    <x v="2"/>
    <s v="шт."/>
    <s v="нед."/>
    <s v="Банк"/>
    <m/>
    <x v="0"/>
    <s v="Обратная связь по расчетам отклонения"/>
  </r>
  <r>
    <x v="23"/>
    <n v="434"/>
    <x v="40"/>
    <x v="37"/>
    <x v="2"/>
    <s v="шт."/>
    <s v="нед."/>
    <s v="Банк"/>
    <m/>
    <x v="0"/>
    <s v="Другое"/>
  </r>
  <r>
    <x v="23"/>
    <n v="384"/>
    <x v="40"/>
    <x v="37"/>
    <x v="2"/>
    <s v="шт."/>
    <s v="нед."/>
    <s v="Банк"/>
    <m/>
    <x v="0"/>
    <s v="Комментарии к выполненным мероприятиям"/>
  </r>
  <r>
    <x v="23"/>
    <n v="11"/>
    <x v="40"/>
    <x v="37"/>
    <x v="2"/>
    <s v="шт."/>
    <s v="нед."/>
    <s v="Банк"/>
    <m/>
    <x v="0"/>
    <s v="Обратная связь по интерфейсу"/>
  </r>
  <r>
    <x v="23"/>
    <n v="89"/>
    <x v="40"/>
    <x v="37"/>
    <x v="2"/>
    <s v="шт."/>
    <s v="нед."/>
    <s v="Банк"/>
    <m/>
    <x v="0"/>
    <s v="Обратная связь по предлагаемым действиям"/>
  </r>
  <r>
    <x v="23"/>
    <n v="246"/>
    <x v="40"/>
    <x v="37"/>
    <x v="2"/>
    <s v="шт."/>
    <s v="нед."/>
    <s v="Банк"/>
    <m/>
    <x v="0"/>
    <s v="Обратная связь по расчетам отклонения"/>
  </r>
  <r>
    <x v="24"/>
    <n v="369"/>
    <x v="40"/>
    <x v="37"/>
    <x v="2"/>
    <s v="шт."/>
    <s v="нед."/>
    <s v="Банк"/>
    <m/>
    <x v="0"/>
    <s v="Другое"/>
  </r>
  <r>
    <x v="24"/>
    <n v="340"/>
    <x v="40"/>
    <x v="37"/>
    <x v="2"/>
    <s v="шт."/>
    <s v="нед."/>
    <s v="Банк"/>
    <m/>
    <x v="0"/>
    <s v="Комментарии к выполненным мероприятиям"/>
  </r>
  <r>
    <x v="24"/>
    <n v="13"/>
    <x v="40"/>
    <x v="37"/>
    <x v="2"/>
    <s v="шт."/>
    <s v="нед."/>
    <s v="Банк"/>
    <m/>
    <x v="0"/>
    <s v="Обратная связь по интерфейсу"/>
  </r>
  <r>
    <x v="24"/>
    <n v="52"/>
    <x v="40"/>
    <x v="37"/>
    <x v="2"/>
    <s v="шт."/>
    <s v="нед."/>
    <s v="Банк"/>
    <m/>
    <x v="0"/>
    <s v="Обратная связь по предлагаемым действиям"/>
  </r>
  <r>
    <x v="24"/>
    <n v="245"/>
    <x v="40"/>
    <x v="37"/>
    <x v="2"/>
    <s v="шт."/>
    <s v="нед."/>
    <s v="Банк"/>
    <m/>
    <x v="0"/>
    <s v="Обратная связь по расчетам отклонения"/>
  </r>
  <r>
    <x v="25"/>
    <n v="385"/>
    <x v="40"/>
    <x v="37"/>
    <x v="2"/>
    <s v="шт."/>
    <s v="нед."/>
    <s v="Банк"/>
    <m/>
    <x v="0"/>
    <s v="Другое"/>
  </r>
  <r>
    <x v="25"/>
    <n v="322"/>
    <x v="40"/>
    <x v="37"/>
    <x v="2"/>
    <s v="шт."/>
    <s v="нед."/>
    <s v="Банк"/>
    <m/>
    <x v="0"/>
    <s v="Комментарии к выполненным мероприятиям"/>
  </r>
  <r>
    <x v="25"/>
    <n v="8"/>
    <x v="40"/>
    <x v="37"/>
    <x v="2"/>
    <s v="шт."/>
    <s v="нед."/>
    <s v="Банк"/>
    <m/>
    <x v="0"/>
    <s v="Обратная связь по интерфейсу"/>
  </r>
  <r>
    <x v="25"/>
    <n v="54"/>
    <x v="40"/>
    <x v="37"/>
    <x v="2"/>
    <s v="шт."/>
    <s v="нед."/>
    <s v="Банк"/>
    <m/>
    <x v="0"/>
    <s v="Обратная связь по предлагаемым действиям"/>
  </r>
  <r>
    <x v="25"/>
    <n v="255"/>
    <x v="40"/>
    <x v="37"/>
    <x v="2"/>
    <s v="шт."/>
    <s v="нед."/>
    <s v="Банк"/>
    <m/>
    <x v="0"/>
    <s v="Обратная связь по расчетам отклонения"/>
  </r>
  <r>
    <x v="26"/>
    <n v="337"/>
    <x v="40"/>
    <x v="37"/>
    <x v="2"/>
    <s v="шт."/>
    <s v="нед."/>
    <s v="Банк"/>
    <m/>
    <x v="0"/>
    <s v="Другое"/>
  </r>
  <r>
    <x v="26"/>
    <n v="272"/>
    <x v="40"/>
    <x v="37"/>
    <x v="2"/>
    <s v="шт."/>
    <s v="нед."/>
    <s v="Банк"/>
    <m/>
    <x v="0"/>
    <s v="Комментарии к выполненным мероприятиям"/>
  </r>
  <r>
    <x v="26"/>
    <n v="11"/>
    <x v="40"/>
    <x v="37"/>
    <x v="2"/>
    <s v="шт."/>
    <s v="нед."/>
    <s v="Банк"/>
    <m/>
    <x v="0"/>
    <s v="Обратная связь по интерфейсу"/>
  </r>
  <r>
    <x v="26"/>
    <n v="44"/>
    <x v="40"/>
    <x v="37"/>
    <x v="2"/>
    <s v="шт."/>
    <s v="нед."/>
    <s v="Банк"/>
    <m/>
    <x v="0"/>
    <s v="Обратная связь по предлагаемым действиям"/>
  </r>
  <r>
    <x v="26"/>
    <n v="194"/>
    <x v="40"/>
    <x v="37"/>
    <x v="2"/>
    <s v="шт."/>
    <s v="нед."/>
    <s v="Банк"/>
    <m/>
    <x v="0"/>
    <s v="Обратная связь по расчетам отклонения"/>
  </r>
  <r>
    <x v="27"/>
    <n v="1"/>
    <x v="40"/>
    <x v="37"/>
    <x v="2"/>
    <s v="шт."/>
    <s v="нед."/>
    <s v="Банк"/>
    <m/>
    <x v="0"/>
    <s v="ERROR"/>
  </r>
  <r>
    <x v="27"/>
    <n v="351"/>
    <x v="40"/>
    <x v="37"/>
    <x v="2"/>
    <s v="шт."/>
    <s v="нед."/>
    <s v="Банк"/>
    <m/>
    <x v="0"/>
    <s v="Другое"/>
  </r>
  <r>
    <x v="27"/>
    <n v="377"/>
    <x v="40"/>
    <x v="37"/>
    <x v="2"/>
    <s v="шт."/>
    <s v="нед."/>
    <s v="Банк"/>
    <m/>
    <x v="0"/>
    <s v="Комментарии к выполненным мероприятиям"/>
  </r>
  <r>
    <x v="27"/>
    <n v="15"/>
    <x v="40"/>
    <x v="37"/>
    <x v="2"/>
    <s v="шт."/>
    <s v="нед."/>
    <s v="Банк"/>
    <m/>
    <x v="0"/>
    <s v="Обратная связь по интерфейсу"/>
  </r>
  <r>
    <x v="27"/>
    <n v="77"/>
    <x v="40"/>
    <x v="37"/>
    <x v="2"/>
    <s v="шт."/>
    <s v="нед."/>
    <s v="Банк"/>
    <m/>
    <x v="0"/>
    <s v="Обратная связь по предлагаемым действиям"/>
  </r>
  <r>
    <x v="27"/>
    <n v="181"/>
    <x v="40"/>
    <x v="37"/>
    <x v="2"/>
    <s v="шт."/>
    <s v="нед."/>
    <s v="Банк"/>
    <m/>
    <x v="0"/>
    <s v="Обратная связь по расчетам отклонения"/>
  </r>
  <r>
    <x v="28"/>
    <n v="343"/>
    <x v="40"/>
    <x v="37"/>
    <x v="2"/>
    <s v="шт."/>
    <s v="нед."/>
    <s v="Банк"/>
    <m/>
    <x v="0"/>
    <s v="Другое"/>
  </r>
  <r>
    <x v="28"/>
    <n v="323"/>
    <x v="40"/>
    <x v="37"/>
    <x v="2"/>
    <s v="шт."/>
    <s v="нед."/>
    <s v="Банк"/>
    <m/>
    <x v="0"/>
    <s v="Комментарии к выполненным мероприятиям"/>
  </r>
  <r>
    <x v="28"/>
    <n v="8"/>
    <x v="40"/>
    <x v="37"/>
    <x v="2"/>
    <s v="шт."/>
    <s v="нед."/>
    <s v="Банк"/>
    <m/>
    <x v="0"/>
    <s v="Обратная связь по интерфейсу"/>
  </r>
  <r>
    <x v="28"/>
    <n v="51"/>
    <x v="40"/>
    <x v="37"/>
    <x v="2"/>
    <s v="шт."/>
    <s v="нед."/>
    <s v="Банк"/>
    <m/>
    <x v="0"/>
    <s v="Обратная связь по предлагаемым действиям"/>
  </r>
  <r>
    <x v="28"/>
    <n v="178"/>
    <x v="40"/>
    <x v="37"/>
    <x v="2"/>
    <s v="шт."/>
    <s v="нед."/>
    <s v="Банк"/>
    <m/>
    <x v="0"/>
    <s v="Обратная связь по расчетам отклонения"/>
  </r>
  <r>
    <x v="29"/>
    <n v="333"/>
    <x v="40"/>
    <x v="37"/>
    <x v="2"/>
    <s v="шт."/>
    <s v="нед."/>
    <s v="Банк"/>
    <m/>
    <x v="0"/>
    <s v="Другое"/>
  </r>
  <r>
    <x v="29"/>
    <n v="347"/>
    <x v="40"/>
    <x v="37"/>
    <x v="2"/>
    <s v="шт."/>
    <s v="нед."/>
    <s v="Банк"/>
    <m/>
    <x v="0"/>
    <s v="Комментарии к выполненным мероприятиям"/>
  </r>
  <r>
    <x v="29"/>
    <n v="8"/>
    <x v="40"/>
    <x v="37"/>
    <x v="2"/>
    <s v="шт."/>
    <s v="нед."/>
    <s v="Банк"/>
    <m/>
    <x v="0"/>
    <s v="Обратная связь по интерфейсу"/>
  </r>
  <r>
    <x v="29"/>
    <n v="65"/>
    <x v="40"/>
    <x v="37"/>
    <x v="2"/>
    <s v="шт."/>
    <s v="нед."/>
    <s v="Банк"/>
    <m/>
    <x v="0"/>
    <s v="Обратная связь по предлагаемым действиям"/>
  </r>
  <r>
    <x v="29"/>
    <n v="175"/>
    <x v="40"/>
    <x v="37"/>
    <x v="2"/>
    <s v="шт."/>
    <s v="нед."/>
    <s v="Банк"/>
    <m/>
    <x v="0"/>
    <s v="Обратная связь по расчетам отклонения"/>
  </r>
  <r>
    <x v="30"/>
    <n v="274"/>
    <x v="40"/>
    <x v="37"/>
    <x v="2"/>
    <s v="шт."/>
    <s v="нед."/>
    <s v="Банк"/>
    <m/>
    <x v="0"/>
    <s v="Другое"/>
  </r>
  <r>
    <x v="30"/>
    <n v="235"/>
    <x v="40"/>
    <x v="37"/>
    <x v="2"/>
    <s v="шт."/>
    <s v="нед."/>
    <s v="Банк"/>
    <m/>
    <x v="0"/>
    <s v="Комментарии к выполненным мероприятиям"/>
  </r>
  <r>
    <x v="30"/>
    <n v="10"/>
    <x v="40"/>
    <x v="37"/>
    <x v="2"/>
    <s v="шт."/>
    <s v="нед."/>
    <s v="Банк"/>
    <m/>
    <x v="0"/>
    <s v="Обратная связь по интерфейсу"/>
  </r>
  <r>
    <x v="30"/>
    <n v="47"/>
    <x v="40"/>
    <x v="37"/>
    <x v="2"/>
    <s v="шт."/>
    <s v="нед."/>
    <s v="Банк"/>
    <m/>
    <x v="0"/>
    <s v="Обратная связь по предлагаемым действиям"/>
  </r>
  <r>
    <x v="30"/>
    <n v="131"/>
    <x v="40"/>
    <x v="37"/>
    <x v="2"/>
    <s v="шт."/>
    <s v="нед."/>
    <s v="Банк"/>
    <m/>
    <x v="0"/>
    <s v="Обратная связь по расчетам отклонения"/>
  </r>
  <r>
    <x v="2"/>
    <n v="16"/>
    <x v="41"/>
    <x v="37"/>
    <x v="1"/>
    <s v="шт."/>
    <s v="нед."/>
    <s v="Банк"/>
    <m/>
    <x v="1"/>
    <s v="Другое"/>
  </r>
  <r>
    <x v="2"/>
    <n v="27"/>
    <x v="41"/>
    <x v="37"/>
    <x v="1"/>
    <s v="шт."/>
    <s v="нед."/>
    <s v="Банк"/>
    <m/>
    <x v="1"/>
    <s v="Низкая доля операций, подписанных с использованием БМО"/>
  </r>
  <r>
    <x v="2"/>
    <n v="3"/>
    <x v="41"/>
    <x v="37"/>
    <x v="1"/>
    <s v="шт."/>
    <s v="нед."/>
    <s v="Банк"/>
    <m/>
    <x v="1"/>
    <s v="Обратная связь по предлагаемым действиям"/>
  </r>
  <r>
    <x v="2"/>
    <n v="13"/>
    <x v="41"/>
    <x v="37"/>
    <x v="1"/>
    <s v="шт."/>
    <s v="нед."/>
    <s v="Банк"/>
    <m/>
    <x v="1"/>
    <s v="Обратная связь по расчетам отклонения"/>
  </r>
  <r>
    <x v="2"/>
    <n v="51"/>
    <x v="41"/>
    <x v="37"/>
    <x v="1"/>
    <s v="шт."/>
    <s v="нед."/>
    <s v="Банк"/>
    <m/>
    <x v="1"/>
    <s v="Другое"/>
  </r>
  <r>
    <x v="2"/>
    <n v="31"/>
    <x v="41"/>
    <x v="37"/>
    <x v="1"/>
    <s v="шт."/>
    <s v="нед."/>
    <s v="Банк"/>
    <m/>
    <x v="1"/>
    <s v="Комментарии к выполненным мероприятиям"/>
  </r>
  <r>
    <x v="2"/>
    <n v="10"/>
    <x v="41"/>
    <x v="37"/>
    <x v="1"/>
    <s v="шт."/>
    <s v="нед."/>
    <s v="Банк"/>
    <m/>
    <x v="1"/>
    <s v="Обратная связь по предлагаемым действиям"/>
  </r>
  <r>
    <x v="2"/>
    <n v="27"/>
    <x v="41"/>
    <x v="37"/>
    <x v="1"/>
    <s v="шт."/>
    <s v="нед."/>
    <s v="Банк"/>
    <m/>
    <x v="1"/>
    <s v="Обратная связь по расчетам отклонения"/>
  </r>
  <r>
    <x v="3"/>
    <n v="115"/>
    <x v="41"/>
    <x v="37"/>
    <x v="1"/>
    <s v="шт."/>
    <s v="нед."/>
    <s v="Банк"/>
    <m/>
    <x v="1"/>
    <s v="Другое"/>
  </r>
  <r>
    <x v="3"/>
    <n v="97"/>
    <x v="41"/>
    <x v="37"/>
    <x v="1"/>
    <s v="шт."/>
    <s v="нед."/>
    <s v="Банк"/>
    <m/>
    <x v="1"/>
    <s v="Комментарии к выполненным мероприятиям"/>
  </r>
  <r>
    <x v="3"/>
    <n v="20"/>
    <x v="41"/>
    <x v="37"/>
    <x v="1"/>
    <s v="шт."/>
    <s v="нед."/>
    <s v="Банк"/>
    <m/>
    <x v="1"/>
    <s v="Обратная связь по предлагаемым действиям"/>
  </r>
  <r>
    <x v="3"/>
    <n v="70"/>
    <x v="41"/>
    <x v="37"/>
    <x v="1"/>
    <s v="шт."/>
    <s v="нед."/>
    <s v="Банк"/>
    <m/>
    <x v="1"/>
    <s v="Обратная связь по расчетам отклонения"/>
  </r>
  <r>
    <x v="4"/>
    <n v="74"/>
    <x v="41"/>
    <x v="37"/>
    <x v="1"/>
    <s v="шт."/>
    <s v="нед."/>
    <s v="Банк"/>
    <m/>
    <x v="1"/>
    <s v="Другое"/>
  </r>
  <r>
    <x v="4"/>
    <n v="75"/>
    <x v="41"/>
    <x v="37"/>
    <x v="1"/>
    <s v="шт."/>
    <s v="нед."/>
    <s v="Банк"/>
    <m/>
    <x v="1"/>
    <s v="Комментарии к выполненным мероприятиям"/>
  </r>
  <r>
    <x v="4"/>
    <n v="1"/>
    <x v="41"/>
    <x v="37"/>
    <x v="1"/>
    <s v="шт."/>
    <s v="нед."/>
    <s v="Банк"/>
    <m/>
    <x v="1"/>
    <s v="Обратная связь по интерфейсу"/>
  </r>
  <r>
    <x v="4"/>
    <n v="24"/>
    <x v="41"/>
    <x v="37"/>
    <x v="1"/>
    <s v="шт."/>
    <s v="нед."/>
    <s v="Банк"/>
    <m/>
    <x v="1"/>
    <s v="Обратная связь по предлагаемым действиям"/>
  </r>
  <r>
    <x v="4"/>
    <n v="38"/>
    <x v="41"/>
    <x v="37"/>
    <x v="1"/>
    <s v="шт."/>
    <s v="нед."/>
    <s v="Банк"/>
    <m/>
    <x v="1"/>
    <s v="Обратная связь по расчетам отклонения"/>
  </r>
  <r>
    <x v="5"/>
    <n v="88"/>
    <x v="41"/>
    <x v="37"/>
    <x v="1"/>
    <s v="шт."/>
    <s v="нед."/>
    <s v="Банк"/>
    <m/>
    <x v="1"/>
    <s v="Другое"/>
  </r>
  <r>
    <x v="5"/>
    <n v="91"/>
    <x v="41"/>
    <x v="37"/>
    <x v="1"/>
    <s v="шт."/>
    <s v="нед."/>
    <s v="Банк"/>
    <m/>
    <x v="1"/>
    <s v="Комментарии к выполненным мероприятиям"/>
  </r>
  <r>
    <x v="5"/>
    <n v="34"/>
    <x v="41"/>
    <x v="37"/>
    <x v="1"/>
    <s v="шт."/>
    <s v="нед."/>
    <s v="Банк"/>
    <m/>
    <x v="1"/>
    <s v="Обратная связь по предлагаемым действиям"/>
  </r>
  <r>
    <x v="5"/>
    <n v="50"/>
    <x v="41"/>
    <x v="37"/>
    <x v="1"/>
    <s v="шт."/>
    <s v="нед."/>
    <s v="Банк"/>
    <m/>
    <x v="1"/>
    <s v="Обратная связь по расчетам отклонения"/>
  </r>
  <r>
    <x v="6"/>
    <n v="70"/>
    <x v="41"/>
    <x v="37"/>
    <x v="1"/>
    <s v="шт."/>
    <s v="нед."/>
    <s v="Банк"/>
    <m/>
    <x v="1"/>
    <s v="Другое"/>
  </r>
  <r>
    <x v="6"/>
    <n v="61"/>
    <x v="41"/>
    <x v="37"/>
    <x v="1"/>
    <s v="шт."/>
    <s v="нед."/>
    <s v="Банк"/>
    <m/>
    <x v="1"/>
    <s v="Комментарии к выполненным мероприятиям"/>
  </r>
  <r>
    <x v="6"/>
    <n v="1"/>
    <x v="41"/>
    <x v="37"/>
    <x v="1"/>
    <s v="шт."/>
    <s v="нед."/>
    <s v="Банк"/>
    <m/>
    <x v="1"/>
    <s v="Обратная связь по интерфейсу"/>
  </r>
  <r>
    <x v="6"/>
    <n v="16"/>
    <x v="41"/>
    <x v="37"/>
    <x v="1"/>
    <s v="шт."/>
    <s v="нед."/>
    <s v="Банк"/>
    <m/>
    <x v="1"/>
    <s v="Обратная связь по предлагаемым действиям"/>
  </r>
  <r>
    <x v="6"/>
    <n v="31"/>
    <x v="41"/>
    <x v="37"/>
    <x v="1"/>
    <s v="шт."/>
    <s v="нед."/>
    <s v="Банк"/>
    <m/>
    <x v="1"/>
    <s v="Обратная связь по расчетам отклонения"/>
  </r>
  <r>
    <x v="7"/>
    <n v="78"/>
    <x v="41"/>
    <x v="37"/>
    <x v="1"/>
    <s v="шт."/>
    <s v="нед."/>
    <s v="Банк"/>
    <m/>
    <x v="1"/>
    <s v="Другое"/>
  </r>
  <r>
    <x v="7"/>
    <n v="69"/>
    <x v="41"/>
    <x v="37"/>
    <x v="1"/>
    <s v="шт."/>
    <s v="нед."/>
    <s v="Банк"/>
    <m/>
    <x v="1"/>
    <s v="Комментарии к выполненным мероприятиям"/>
  </r>
  <r>
    <x v="7"/>
    <n v="7"/>
    <x v="41"/>
    <x v="37"/>
    <x v="1"/>
    <s v="шт."/>
    <s v="нед."/>
    <s v="Банк"/>
    <m/>
    <x v="1"/>
    <s v="Обратная связь по интерфейсу"/>
  </r>
  <r>
    <x v="7"/>
    <n v="14"/>
    <x v="41"/>
    <x v="37"/>
    <x v="1"/>
    <s v="шт."/>
    <s v="нед."/>
    <s v="Банк"/>
    <m/>
    <x v="1"/>
    <s v="Обратная связь по предлагаемым действиям"/>
  </r>
  <r>
    <x v="7"/>
    <n v="36"/>
    <x v="41"/>
    <x v="37"/>
    <x v="1"/>
    <s v="шт."/>
    <s v="нед."/>
    <s v="Банк"/>
    <m/>
    <x v="1"/>
    <s v="Обратная связь по расчетам отклонения"/>
  </r>
  <r>
    <x v="8"/>
    <n v="85"/>
    <x v="41"/>
    <x v="37"/>
    <x v="1"/>
    <s v="шт."/>
    <s v="нед."/>
    <s v="Банк"/>
    <m/>
    <x v="1"/>
    <s v="Другое"/>
  </r>
  <r>
    <x v="8"/>
    <n v="92"/>
    <x v="41"/>
    <x v="37"/>
    <x v="1"/>
    <s v="шт."/>
    <s v="нед."/>
    <s v="Банк"/>
    <m/>
    <x v="1"/>
    <s v="Комментарии к выполненным мероприятиям"/>
  </r>
  <r>
    <x v="8"/>
    <n v="2"/>
    <x v="41"/>
    <x v="37"/>
    <x v="1"/>
    <s v="шт."/>
    <s v="нед."/>
    <s v="Банк"/>
    <m/>
    <x v="1"/>
    <s v="Обратная связь по интерфейсу"/>
  </r>
  <r>
    <x v="8"/>
    <n v="23"/>
    <x v="41"/>
    <x v="37"/>
    <x v="1"/>
    <s v="шт."/>
    <s v="нед."/>
    <s v="Банк"/>
    <m/>
    <x v="1"/>
    <s v="Обратная связь по предлагаемым действиям"/>
  </r>
  <r>
    <x v="8"/>
    <n v="47"/>
    <x v="41"/>
    <x v="37"/>
    <x v="1"/>
    <s v="шт."/>
    <s v="нед."/>
    <s v="Банк"/>
    <m/>
    <x v="1"/>
    <s v="Обратная связь по расчетам отклонения"/>
  </r>
  <r>
    <x v="9"/>
    <n v="63"/>
    <x v="41"/>
    <x v="37"/>
    <x v="1"/>
    <s v="шт."/>
    <s v="нед."/>
    <s v="Банк"/>
    <m/>
    <x v="1"/>
    <s v="Другое"/>
  </r>
  <r>
    <x v="9"/>
    <n v="59"/>
    <x v="41"/>
    <x v="37"/>
    <x v="1"/>
    <s v="шт."/>
    <s v="нед."/>
    <s v="Банк"/>
    <m/>
    <x v="1"/>
    <s v="Комментарии к выполненным мероприятиям"/>
  </r>
  <r>
    <x v="9"/>
    <n v="1"/>
    <x v="41"/>
    <x v="37"/>
    <x v="1"/>
    <s v="шт."/>
    <s v="нед."/>
    <s v="Банк"/>
    <m/>
    <x v="1"/>
    <s v="Обратная связь по интерфейсу"/>
  </r>
  <r>
    <x v="9"/>
    <n v="19"/>
    <x v="41"/>
    <x v="37"/>
    <x v="1"/>
    <s v="шт."/>
    <s v="нед."/>
    <s v="Банк"/>
    <m/>
    <x v="1"/>
    <s v="Обратная связь по предлагаемым действиям"/>
  </r>
  <r>
    <x v="9"/>
    <n v="34"/>
    <x v="41"/>
    <x v="37"/>
    <x v="1"/>
    <s v="шт."/>
    <s v="нед."/>
    <s v="Банк"/>
    <m/>
    <x v="1"/>
    <s v="Обратная связь по расчетам отклонения"/>
  </r>
  <r>
    <x v="10"/>
    <n v="62"/>
    <x v="41"/>
    <x v="37"/>
    <x v="1"/>
    <s v="шт."/>
    <s v="нед."/>
    <s v="Банк"/>
    <m/>
    <x v="1"/>
    <s v="Другое"/>
  </r>
  <r>
    <x v="10"/>
    <n v="66"/>
    <x v="41"/>
    <x v="37"/>
    <x v="1"/>
    <s v="шт."/>
    <s v="нед."/>
    <s v="Банк"/>
    <m/>
    <x v="1"/>
    <s v="Комментарии к выполненным мероприятиям"/>
  </r>
  <r>
    <x v="10"/>
    <n v="2"/>
    <x v="41"/>
    <x v="37"/>
    <x v="1"/>
    <s v="шт."/>
    <s v="нед."/>
    <s v="Банк"/>
    <m/>
    <x v="1"/>
    <s v="Обратная связь по интерфейсу"/>
  </r>
  <r>
    <x v="10"/>
    <n v="15"/>
    <x v="41"/>
    <x v="37"/>
    <x v="1"/>
    <s v="шт."/>
    <s v="нед."/>
    <s v="Банк"/>
    <m/>
    <x v="1"/>
    <s v="Обратная связь по предлагаемым действиям"/>
  </r>
  <r>
    <x v="10"/>
    <n v="38"/>
    <x v="41"/>
    <x v="37"/>
    <x v="1"/>
    <s v="шт."/>
    <s v="нед."/>
    <s v="Банк"/>
    <m/>
    <x v="1"/>
    <s v="Обратная связь по расчетам отклонения"/>
  </r>
  <r>
    <x v="11"/>
    <n v="53"/>
    <x v="41"/>
    <x v="37"/>
    <x v="1"/>
    <s v="шт."/>
    <s v="нед."/>
    <s v="Банк"/>
    <m/>
    <x v="1"/>
    <s v="Другое"/>
  </r>
  <r>
    <x v="11"/>
    <n v="47"/>
    <x v="41"/>
    <x v="37"/>
    <x v="1"/>
    <s v="шт."/>
    <s v="нед."/>
    <s v="Банк"/>
    <m/>
    <x v="1"/>
    <s v="Комментарии к выполненным мероприятиям"/>
  </r>
  <r>
    <x v="11"/>
    <n v="3"/>
    <x v="41"/>
    <x v="37"/>
    <x v="1"/>
    <s v="шт."/>
    <s v="нед."/>
    <s v="Банк"/>
    <m/>
    <x v="1"/>
    <s v="Обратная связь по интерфейсу"/>
  </r>
  <r>
    <x v="11"/>
    <n v="11"/>
    <x v="41"/>
    <x v="37"/>
    <x v="1"/>
    <s v="шт."/>
    <s v="нед."/>
    <s v="Банк"/>
    <m/>
    <x v="1"/>
    <s v="Обратная связь по предлагаемым действиям"/>
  </r>
  <r>
    <x v="11"/>
    <n v="28"/>
    <x v="41"/>
    <x v="37"/>
    <x v="1"/>
    <s v="шт."/>
    <s v="нед."/>
    <s v="Банк"/>
    <m/>
    <x v="1"/>
    <s v="Обратная связь по расчетам отклонения"/>
  </r>
  <r>
    <x v="12"/>
    <n v="1"/>
    <x v="41"/>
    <x v="37"/>
    <x v="1"/>
    <s v="шт."/>
    <s v="нед."/>
    <s v="Банк"/>
    <m/>
    <x v="1"/>
    <s v="ERROR"/>
  </r>
  <r>
    <x v="12"/>
    <n v="106"/>
    <x v="41"/>
    <x v="37"/>
    <x v="1"/>
    <s v="шт."/>
    <s v="нед."/>
    <s v="Банк"/>
    <m/>
    <x v="1"/>
    <s v="Другое"/>
  </r>
  <r>
    <x v="12"/>
    <n v="84"/>
    <x v="41"/>
    <x v="37"/>
    <x v="1"/>
    <s v="шт."/>
    <s v="нед."/>
    <s v="Банк"/>
    <m/>
    <x v="1"/>
    <s v="Комментарии к выполненным мероприятиям"/>
  </r>
  <r>
    <x v="12"/>
    <n v="5"/>
    <x v="41"/>
    <x v="37"/>
    <x v="1"/>
    <s v="шт."/>
    <s v="нед."/>
    <s v="Банк"/>
    <m/>
    <x v="1"/>
    <s v="Обратная связь по интерфейсу"/>
  </r>
  <r>
    <x v="12"/>
    <n v="31"/>
    <x v="41"/>
    <x v="37"/>
    <x v="1"/>
    <s v="шт."/>
    <s v="нед."/>
    <s v="Банк"/>
    <m/>
    <x v="1"/>
    <s v="Обратная связь по предлагаемым действиям"/>
  </r>
  <r>
    <x v="12"/>
    <n v="45"/>
    <x v="41"/>
    <x v="37"/>
    <x v="1"/>
    <s v="шт."/>
    <s v="нед."/>
    <s v="Банк"/>
    <m/>
    <x v="1"/>
    <s v="Обратная связь по расчетам отклонения"/>
  </r>
  <r>
    <x v="13"/>
    <n v="84"/>
    <x v="41"/>
    <x v="37"/>
    <x v="1"/>
    <s v="шт."/>
    <s v="нед."/>
    <s v="Банк"/>
    <m/>
    <x v="1"/>
    <s v="Другое"/>
  </r>
  <r>
    <x v="13"/>
    <n v="75"/>
    <x v="41"/>
    <x v="37"/>
    <x v="1"/>
    <s v="шт."/>
    <s v="нед."/>
    <s v="Банк"/>
    <m/>
    <x v="1"/>
    <s v="Комментарии к выполненным мероприятиям"/>
  </r>
  <r>
    <x v="13"/>
    <n v="4"/>
    <x v="41"/>
    <x v="37"/>
    <x v="1"/>
    <s v="шт."/>
    <s v="нед."/>
    <s v="Банк"/>
    <m/>
    <x v="1"/>
    <s v="Обратная связь по интерфейсу"/>
  </r>
  <r>
    <x v="13"/>
    <n v="15"/>
    <x v="41"/>
    <x v="37"/>
    <x v="1"/>
    <s v="шт."/>
    <s v="нед."/>
    <s v="Банк"/>
    <m/>
    <x v="1"/>
    <s v="Обратная связь по предлагаемым действиям"/>
  </r>
  <r>
    <x v="13"/>
    <n v="57"/>
    <x v="41"/>
    <x v="37"/>
    <x v="1"/>
    <s v="шт."/>
    <s v="нед."/>
    <s v="Банк"/>
    <m/>
    <x v="1"/>
    <s v="Обратная связь по расчетам отклонения"/>
  </r>
  <r>
    <x v="14"/>
    <n v="130"/>
    <x v="41"/>
    <x v="37"/>
    <x v="1"/>
    <s v="шт."/>
    <s v="нед."/>
    <s v="Банк"/>
    <m/>
    <x v="1"/>
    <s v="Другое"/>
  </r>
  <r>
    <x v="14"/>
    <n v="101"/>
    <x v="41"/>
    <x v="37"/>
    <x v="1"/>
    <s v="шт."/>
    <s v="нед."/>
    <s v="Банк"/>
    <m/>
    <x v="1"/>
    <s v="Комментарии к выполненным мероприятиям"/>
  </r>
  <r>
    <x v="14"/>
    <n v="6"/>
    <x v="41"/>
    <x v="37"/>
    <x v="1"/>
    <s v="шт."/>
    <s v="нед."/>
    <s v="Банк"/>
    <m/>
    <x v="1"/>
    <s v="Обратная связь по интерфейсу"/>
  </r>
  <r>
    <x v="14"/>
    <n v="37"/>
    <x v="41"/>
    <x v="37"/>
    <x v="1"/>
    <s v="шт."/>
    <s v="нед."/>
    <s v="Банк"/>
    <m/>
    <x v="1"/>
    <s v="Обратная связь по предлагаемым действиям"/>
  </r>
  <r>
    <x v="14"/>
    <n v="56"/>
    <x v="41"/>
    <x v="37"/>
    <x v="1"/>
    <s v="шт."/>
    <s v="нед."/>
    <s v="Банк"/>
    <m/>
    <x v="1"/>
    <s v="Обратная связь по расчетам отклонения"/>
  </r>
  <r>
    <x v="15"/>
    <n v="81"/>
    <x v="41"/>
    <x v="37"/>
    <x v="1"/>
    <s v="шт."/>
    <s v="нед."/>
    <s v="Банк"/>
    <m/>
    <x v="1"/>
    <s v="Другое"/>
  </r>
  <r>
    <x v="15"/>
    <n v="81"/>
    <x v="41"/>
    <x v="37"/>
    <x v="1"/>
    <s v="шт."/>
    <s v="нед."/>
    <s v="Банк"/>
    <m/>
    <x v="1"/>
    <s v="Комментарии к выполненным мероприятиям"/>
  </r>
  <r>
    <x v="15"/>
    <n v="2"/>
    <x v="41"/>
    <x v="37"/>
    <x v="1"/>
    <s v="шт."/>
    <s v="нед."/>
    <s v="Банк"/>
    <m/>
    <x v="1"/>
    <s v="Обратная связь по интерфейсу"/>
  </r>
  <r>
    <x v="15"/>
    <n v="17"/>
    <x v="41"/>
    <x v="37"/>
    <x v="1"/>
    <s v="шт."/>
    <s v="нед."/>
    <s v="Банк"/>
    <m/>
    <x v="1"/>
    <s v="Обратная связь по предлагаемым действиям"/>
  </r>
  <r>
    <x v="15"/>
    <n v="48"/>
    <x v="41"/>
    <x v="37"/>
    <x v="1"/>
    <s v="шт."/>
    <s v="нед."/>
    <s v="Банк"/>
    <m/>
    <x v="1"/>
    <s v="Обратная связь по расчетам отклонения"/>
  </r>
  <r>
    <x v="16"/>
    <n v="160"/>
    <x v="41"/>
    <x v="37"/>
    <x v="1"/>
    <s v="шт."/>
    <s v="нед."/>
    <s v="Банк"/>
    <m/>
    <x v="1"/>
    <s v="Другое"/>
  </r>
  <r>
    <x v="16"/>
    <n v="187"/>
    <x v="41"/>
    <x v="37"/>
    <x v="1"/>
    <s v="шт."/>
    <s v="нед."/>
    <s v="Банк"/>
    <m/>
    <x v="1"/>
    <s v="Комментарии к выполненным мероприятиям"/>
  </r>
  <r>
    <x v="16"/>
    <n v="5"/>
    <x v="41"/>
    <x v="37"/>
    <x v="1"/>
    <s v="шт."/>
    <s v="нед."/>
    <s v="Банк"/>
    <m/>
    <x v="1"/>
    <s v="Обратная связь по интерфейсу"/>
  </r>
  <r>
    <x v="16"/>
    <n v="55"/>
    <x v="41"/>
    <x v="37"/>
    <x v="1"/>
    <s v="шт."/>
    <s v="нед."/>
    <s v="Банк"/>
    <m/>
    <x v="1"/>
    <s v="Обратная связь по предлагаемым действиям"/>
  </r>
  <r>
    <x v="16"/>
    <n v="92"/>
    <x v="41"/>
    <x v="37"/>
    <x v="1"/>
    <s v="шт."/>
    <s v="нед."/>
    <s v="Банк"/>
    <m/>
    <x v="1"/>
    <s v="Обратная связь по расчетам отклонения"/>
  </r>
  <r>
    <x v="17"/>
    <n v="1"/>
    <x v="41"/>
    <x v="37"/>
    <x v="1"/>
    <s v="шт."/>
    <s v="нед."/>
    <s v="Банк"/>
    <m/>
    <x v="1"/>
    <s v="ERROR"/>
  </r>
  <r>
    <x v="17"/>
    <n v="239"/>
    <x v="41"/>
    <x v="37"/>
    <x v="1"/>
    <s v="шт."/>
    <s v="нед."/>
    <s v="Банк"/>
    <m/>
    <x v="1"/>
    <s v="Другое"/>
  </r>
  <r>
    <x v="17"/>
    <n v="231"/>
    <x v="41"/>
    <x v="37"/>
    <x v="1"/>
    <s v="шт."/>
    <s v="нед."/>
    <s v="Банк"/>
    <m/>
    <x v="1"/>
    <s v="Комментарии к выполненным мероприятиям"/>
  </r>
  <r>
    <x v="17"/>
    <n v="5"/>
    <x v="41"/>
    <x v="37"/>
    <x v="1"/>
    <s v="шт."/>
    <s v="нед."/>
    <s v="Банк"/>
    <m/>
    <x v="1"/>
    <s v="Обратная связь по интерфейсу"/>
  </r>
  <r>
    <x v="17"/>
    <n v="49"/>
    <x v="41"/>
    <x v="37"/>
    <x v="1"/>
    <s v="шт."/>
    <s v="нед."/>
    <s v="Банк"/>
    <m/>
    <x v="1"/>
    <s v="Обратная связь по предлагаемым действиям"/>
  </r>
  <r>
    <x v="17"/>
    <n v="145"/>
    <x v="41"/>
    <x v="37"/>
    <x v="1"/>
    <s v="шт."/>
    <s v="нед."/>
    <s v="Банк"/>
    <m/>
    <x v="1"/>
    <s v="Обратная связь по расчетам отклонения"/>
  </r>
  <r>
    <x v="18"/>
    <n v="47"/>
    <x v="41"/>
    <x v="37"/>
    <x v="1"/>
    <s v="шт."/>
    <s v="нед."/>
    <s v="Банк"/>
    <m/>
    <x v="1"/>
    <s v="Другое"/>
  </r>
  <r>
    <x v="18"/>
    <n v="38"/>
    <x v="41"/>
    <x v="37"/>
    <x v="1"/>
    <s v="шт."/>
    <s v="нед."/>
    <s v="Банк"/>
    <m/>
    <x v="1"/>
    <s v="Комментарии к выполненным мероприятиям"/>
  </r>
  <r>
    <x v="18"/>
    <n v="2"/>
    <x v="41"/>
    <x v="37"/>
    <x v="1"/>
    <s v="шт."/>
    <s v="нед."/>
    <s v="Банк"/>
    <m/>
    <x v="1"/>
    <s v="Обратная связь по предлагаемым действиям"/>
  </r>
  <r>
    <x v="18"/>
    <n v="22"/>
    <x v="41"/>
    <x v="37"/>
    <x v="1"/>
    <s v="шт."/>
    <s v="нед."/>
    <s v="Банк"/>
    <m/>
    <x v="1"/>
    <s v="Обратная связь по расчетам отклонения"/>
  </r>
  <r>
    <x v="19"/>
    <n v="273"/>
    <x v="41"/>
    <x v="37"/>
    <x v="1"/>
    <s v="шт."/>
    <s v="нед."/>
    <s v="Банк"/>
    <m/>
    <x v="1"/>
    <s v="Другое"/>
  </r>
  <r>
    <x v="19"/>
    <n v="165"/>
    <x v="41"/>
    <x v="37"/>
    <x v="1"/>
    <s v="шт."/>
    <s v="нед."/>
    <s v="Банк"/>
    <m/>
    <x v="1"/>
    <s v="Комментарии к выполненным мероприятиям"/>
  </r>
  <r>
    <x v="19"/>
    <n v="5"/>
    <x v="41"/>
    <x v="37"/>
    <x v="1"/>
    <s v="шт."/>
    <s v="нед."/>
    <s v="Банк"/>
    <m/>
    <x v="1"/>
    <s v="Обратная связь по интерфейсу"/>
  </r>
  <r>
    <x v="19"/>
    <n v="48"/>
    <x v="41"/>
    <x v="37"/>
    <x v="1"/>
    <s v="шт."/>
    <s v="нед."/>
    <s v="Банк"/>
    <m/>
    <x v="1"/>
    <s v="Обратная связь по предлагаемым действиям"/>
  </r>
  <r>
    <x v="19"/>
    <n v="149"/>
    <x v="41"/>
    <x v="37"/>
    <x v="1"/>
    <s v="шт."/>
    <s v="нед."/>
    <s v="Банк"/>
    <m/>
    <x v="1"/>
    <s v="Обратная связь по расчетам отклонения"/>
  </r>
  <r>
    <x v="20"/>
    <n v="1"/>
    <x v="41"/>
    <x v="37"/>
    <x v="1"/>
    <s v="шт."/>
    <s v="нед."/>
    <s v="Банк"/>
    <m/>
    <x v="1"/>
    <s v="ERROR"/>
  </r>
  <r>
    <x v="20"/>
    <n v="223"/>
    <x v="41"/>
    <x v="37"/>
    <x v="1"/>
    <s v="шт."/>
    <s v="нед."/>
    <s v="Банк"/>
    <m/>
    <x v="1"/>
    <s v="Другое"/>
  </r>
  <r>
    <x v="20"/>
    <n v="144"/>
    <x v="41"/>
    <x v="37"/>
    <x v="1"/>
    <s v="шт."/>
    <s v="нед."/>
    <s v="Банк"/>
    <m/>
    <x v="1"/>
    <s v="Комментарии к выполненным мероприятиям"/>
  </r>
  <r>
    <x v="20"/>
    <n v="8"/>
    <x v="41"/>
    <x v="37"/>
    <x v="1"/>
    <s v="шт."/>
    <s v="нед."/>
    <s v="Банк"/>
    <m/>
    <x v="1"/>
    <s v="Обратная связь по интерфейсу"/>
  </r>
  <r>
    <x v="20"/>
    <n v="38"/>
    <x v="41"/>
    <x v="37"/>
    <x v="1"/>
    <s v="шт."/>
    <s v="нед."/>
    <s v="Банк"/>
    <m/>
    <x v="1"/>
    <s v="Обратная связь по предлагаемым действиям"/>
  </r>
  <r>
    <x v="20"/>
    <n v="126"/>
    <x v="41"/>
    <x v="37"/>
    <x v="1"/>
    <s v="шт."/>
    <s v="нед."/>
    <s v="Банк"/>
    <m/>
    <x v="1"/>
    <s v="Обратная связь по расчетам отклонения"/>
  </r>
  <r>
    <x v="21"/>
    <n v="242"/>
    <x v="41"/>
    <x v="37"/>
    <x v="1"/>
    <s v="шт."/>
    <s v="нед."/>
    <s v="Банк"/>
    <m/>
    <x v="1"/>
    <s v="Другое"/>
  </r>
  <r>
    <x v="21"/>
    <n v="147"/>
    <x v="41"/>
    <x v="37"/>
    <x v="1"/>
    <s v="шт."/>
    <s v="нед."/>
    <s v="Банк"/>
    <m/>
    <x v="1"/>
    <s v="Комментарии к выполненным мероприятиям"/>
  </r>
  <r>
    <x v="21"/>
    <n v="3"/>
    <x v="41"/>
    <x v="37"/>
    <x v="1"/>
    <s v="шт."/>
    <s v="нед."/>
    <s v="Банк"/>
    <m/>
    <x v="1"/>
    <s v="Обратная связь по интерфейсу"/>
  </r>
  <r>
    <x v="21"/>
    <n v="29"/>
    <x v="41"/>
    <x v="37"/>
    <x v="1"/>
    <s v="шт."/>
    <s v="нед."/>
    <s v="Банк"/>
    <m/>
    <x v="1"/>
    <s v="Обратная связь по предлагаемым действиям"/>
  </r>
  <r>
    <x v="21"/>
    <n v="95"/>
    <x v="41"/>
    <x v="37"/>
    <x v="1"/>
    <s v="шт."/>
    <s v="нед."/>
    <s v="Банк"/>
    <m/>
    <x v="1"/>
    <s v="Обратная связь по расчетам отклонения"/>
  </r>
  <r>
    <x v="22"/>
    <n v="157"/>
    <x v="41"/>
    <x v="37"/>
    <x v="1"/>
    <s v="шт."/>
    <s v="нед."/>
    <s v="Банк"/>
    <m/>
    <x v="1"/>
    <s v="Другое"/>
  </r>
  <r>
    <x v="22"/>
    <n v="117"/>
    <x v="41"/>
    <x v="37"/>
    <x v="1"/>
    <s v="шт."/>
    <s v="нед."/>
    <s v="Банк"/>
    <m/>
    <x v="1"/>
    <s v="Комментарии к выполненным мероприятиям"/>
  </r>
  <r>
    <x v="22"/>
    <n v="2"/>
    <x v="41"/>
    <x v="37"/>
    <x v="1"/>
    <s v="шт."/>
    <s v="нед."/>
    <s v="Банк"/>
    <m/>
    <x v="1"/>
    <s v="Обратная связь по интерфейсу"/>
  </r>
  <r>
    <x v="22"/>
    <n v="24"/>
    <x v="41"/>
    <x v="37"/>
    <x v="1"/>
    <s v="шт."/>
    <s v="нед."/>
    <s v="Банк"/>
    <m/>
    <x v="1"/>
    <s v="Обратная связь по предлагаемым действиям"/>
  </r>
  <r>
    <x v="22"/>
    <n v="55"/>
    <x v="41"/>
    <x v="37"/>
    <x v="1"/>
    <s v="шт."/>
    <s v="нед."/>
    <s v="Банк"/>
    <m/>
    <x v="1"/>
    <s v="Обратная связь по расчетам отклонения"/>
  </r>
  <r>
    <x v="23"/>
    <n v="162"/>
    <x v="41"/>
    <x v="37"/>
    <x v="1"/>
    <s v="шт."/>
    <s v="нед."/>
    <s v="Банк"/>
    <m/>
    <x v="1"/>
    <s v="Другое"/>
  </r>
  <r>
    <x v="23"/>
    <n v="164"/>
    <x v="41"/>
    <x v="37"/>
    <x v="1"/>
    <s v="шт."/>
    <s v="нед."/>
    <s v="Банк"/>
    <m/>
    <x v="1"/>
    <s v="Комментарии к выполненным мероприятиям"/>
  </r>
  <r>
    <x v="23"/>
    <n v="4"/>
    <x v="41"/>
    <x v="37"/>
    <x v="1"/>
    <s v="шт."/>
    <s v="нед."/>
    <s v="Банк"/>
    <m/>
    <x v="1"/>
    <s v="Обратная связь по интерфейсу"/>
  </r>
  <r>
    <x v="23"/>
    <n v="49"/>
    <x v="41"/>
    <x v="37"/>
    <x v="1"/>
    <s v="шт."/>
    <s v="нед."/>
    <s v="Банк"/>
    <m/>
    <x v="1"/>
    <s v="Обратная связь по предлагаемым действиям"/>
  </r>
  <r>
    <x v="23"/>
    <n v="67"/>
    <x v="41"/>
    <x v="37"/>
    <x v="1"/>
    <s v="шт."/>
    <s v="нед."/>
    <s v="Банк"/>
    <m/>
    <x v="1"/>
    <s v="Обратная связь по расчетам отклонения"/>
  </r>
  <r>
    <x v="24"/>
    <n v="127"/>
    <x v="41"/>
    <x v="37"/>
    <x v="1"/>
    <s v="шт."/>
    <s v="нед."/>
    <s v="Банк"/>
    <m/>
    <x v="1"/>
    <s v="Другое"/>
  </r>
  <r>
    <x v="24"/>
    <n v="109"/>
    <x v="41"/>
    <x v="37"/>
    <x v="1"/>
    <s v="шт."/>
    <s v="нед."/>
    <s v="Банк"/>
    <m/>
    <x v="1"/>
    <s v="Комментарии к выполненным мероприятиям"/>
  </r>
  <r>
    <x v="24"/>
    <n v="4"/>
    <x v="41"/>
    <x v="37"/>
    <x v="1"/>
    <s v="шт."/>
    <s v="нед."/>
    <s v="Банк"/>
    <m/>
    <x v="1"/>
    <s v="Обратная связь по интерфейсу"/>
  </r>
  <r>
    <x v="24"/>
    <n v="23"/>
    <x v="41"/>
    <x v="37"/>
    <x v="1"/>
    <s v="шт."/>
    <s v="нед."/>
    <s v="Банк"/>
    <m/>
    <x v="1"/>
    <s v="Обратная связь по предлагаемым действиям"/>
  </r>
  <r>
    <x v="24"/>
    <n v="59"/>
    <x v="41"/>
    <x v="37"/>
    <x v="1"/>
    <s v="шт."/>
    <s v="нед."/>
    <s v="Банк"/>
    <m/>
    <x v="1"/>
    <s v="Обратная связь по расчетам отклонения"/>
  </r>
  <r>
    <x v="25"/>
    <n v="76"/>
    <x v="41"/>
    <x v="37"/>
    <x v="1"/>
    <s v="шт."/>
    <s v="нед."/>
    <s v="Банк"/>
    <m/>
    <x v="1"/>
    <s v="Другое"/>
  </r>
  <r>
    <x v="25"/>
    <n v="80"/>
    <x v="41"/>
    <x v="37"/>
    <x v="1"/>
    <s v="шт."/>
    <s v="нед."/>
    <s v="Банк"/>
    <m/>
    <x v="1"/>
    <s v="Комментарии к выполненным мероприятиям"/>
  </r>
  <r>
    <x v="25"/>
    <n v="2"/>
    <x v="41"/>
    <x v="37"/>
    <x v="1"/>
    <s v="шт."/>
    <s v="нед."/>
    <s v="Банк"/>
    <m/>
    <x v="1"/>
    <s v="Обратная связь по интерфейсу"/>
  </r>
  <r>
    <x v="25"/>
    <n v="19"/>
    <x v="41"/>
    <x v="37"/>
    <x v="1"/>
    <s v="шт."/>
    <s v="нед."/>
    <s v="Банк"/>
    <m/>
    <x v="1"/>
    <s v="Обратная связь по предлагаемым действиям"/>
  </r>
  <r>
    <x v="25"/>
    <n v="56"/>
    <x v="41"/>
    <x v="37"/>
    <x v="1"/>
    <s v="шт."/>
    <s v="нед."/>
    <s v="Банк"/>
    <m/>
    <x v="1"/>
    <s v="Обратная связь по расчетам отклонения"/>
  </r>
  <r>
    <x v="26"/>
    <n v="89"/>
    <x v="41"/>
    <x v="37"/>
    <x v="1"/>
    <s v="шт."/>
    <s v="нед."/>
    <s v="Банк"/>
    <m/>
    <x v="1"/>
    <s v="Другое"/>
  </r>
  <r>
    <x v="26"/>
    <n v="82"/>
    <x v="41"/>
    <x v="37"/>
    <x v="1"/>
    <s v="шт."/>
    <s v="нед."/>
    <s v="Банк"/>
    <m/>
    <x v="1"/>
    <s v="Комментарии к выполненным мероприятиям"/>
  </r>
  <r>
    <x v="26"/>
    <n v="1"/>
    <x v="41"/>
    <x v="37"/>
    <x v="1"/>
    <s v="шт."/>
    <s v="нед."/>
    <s v="Банк"/>
    <m/>
    <x v="1"/>
    <s v="Обратная связь по интерфейсу"/>
  </r>
  <r>
    <x v="26"/>
    <n v="19"/>
    <x v="41"/>
    <x v="37"/>
    <x v="1"/>
    <s v="шт."/>
    <s v="нед."/>
    <s v="Банк"/>
    <m/>
    <x v="1"/>
    <s v="Обратная связь по предлагаемым действиям"/>
  </r>
  <r>
    <x v="26"/>
    <n v="42"/>
    <x v="41"/>
    <x v="37"/>
    <x v="1"/>
    <s v="шт."/>
    <s v="нед."/>
    <s v="Банк"/>
    <m/>
    <x v="1"/>
    <s v="Обратная связь по расчетам отклонения"/>
  </r>
  <r>
    <x v="27"/>
    <n v="95"/>
    <x v="41"/>
    <x v="37"/>
    <x v="1"/>
    <s v="шт."/>
    <s v="нед."/>
    <s v="Банк"/>
    <m/>
    <x v="1"/>
    <s v="Другое"/>
  </r>
  <r>
    <x v="27"/>
    <n v="133"/>
    <x v="41"/>
    <x v="37"/>
    <x v="1"/>
    <s v="шт."/>
    <s v="нед."/>
    <s v="Банк"/>
    <m/>
    <x v="1"/>
    <s v="Комментарии к выполненным мероприятиям"/>
  </r>
  <r>
    <x v="27"/>
    <n v="3"/>
    <x v="41"/>
    <x v="37"/>
    <x v="1"/>
    <s v="шт."/>
    <s v="нед."/>
    <s v="Банк"/>
    <m/>
    <x v="1"/>
    <s v="Обратная связь по интерфейсу"/>
  </r>
  <r>
    <x v="27"/>
    <n v="30"/>
    <x v="41"/>
    <x v="37"/>
    <x v="1"/>
    <s v="шт."/>
    <s v="нед."/>
    <s v="Банк"/>
    <m/>
    <x v="1"/>
    <s v="Обратная связь по предлагаемым действиям"/>
  </r>
  <r>
    <x v="27"/>
    <n v="39"/>
    <x v="41"/>
    <x v="37"/>
    <x v="1"/>
    <s v="шт."/>
    <s v="нед."/>
    <s v="Банк"/>
    <m/>
    <x v="1"/>
    <s v="Обратная связь по расчетам отклонения"/>
  </r>
  <r>
    <x v="28"/>
    <n v="115"/>
    <x v="41"/>
    <x v="37"/>
    <x v="1"/>
    <s v="шт."/>
    <s v="нед."/>
    <s v="Банк"/>
    <m/>
    <x v="1"/>
    <s v="Другое"/>
  </r>
  <r>
    <x v="28"/>
    <n v="124"/>
    <x v="41"/>
    <x v="37"/>
    <x v="1"/>
    <s v="шт."/>
    <s v="нед."/>
    <s v="Банк"/>
    <m/>
    <x v="1"/>
    <s v="Комментарии к выполненным мероприятиям"/>
  </r>
  <r>
    <x v="28"/>
    <n v="4"/>
    <x v="41"/>
    <x v="37"/>
    <x v="1"/>
    <s v="шт."/>
    <s v="нед."/>
    <s v="Банк"/>
    <m/>
    <x v="1"/>
    <s v="Обратная связь по интерфейсу"/>
  </r>
  <r>
    <x v="28"/>
    <n v="24"/>
    <x v="41"/>
    <x v="37"/>
    <x v="1"/>
    <s v="шт."/>
    <s v="нед."/>
    <s v="Банк"/>
    <m/>
    <x v="1"/>
    <s v="Обратная связь по предлагаемым действиям"/>
  </r>
  <r>
    <x v="28"/>
    <n v="41"/>
    <x v="41"/>
    <x v="37"/>
    <x v="1"/>
    <s v="шт."/>
    <s v="нед."/>
    <s v="Банк"/>
    <m/>
    <x v="1"/>
    <s v="Обратная связь по расчетам отклонения"/>
  </r>
  <r>
    <x v="29"/>
    <n v="121"/>
    <x v="41"/>
    <x v="37"/>
    <x v="1"/>
    <s v="шт."/>
    <s v="нед."/>
    <s v="Банк"/>
    <m/>
    <x v="1"/>
    <s v="Другое"/>
  </r>
  <r>
    <x v="29"/>
    <n v="154"/>
    <x v="41"/>
    <x v="37"/>
    <x v="1"/>
    <s v="шт."/>
    <s v="нед."/>
    <s v="Банк"/>
    <m/>
    <x v="1"/>
    <s v="Комментарии к выполненным мероприятиям"/>
  </r>
  <r>
    <x v="29"/>
    <n v="3"/>
    <x v="41"/>
    <x v="37"/>
    <x v="1"/>
    <s v="шт."/>
    <s v="нед."/>
    <s v="Банк"/>
    <m/>
    <x v="1"/>
    <s v="Обратная связь по интерфейсу"/>
  </r>
  <r>
    <x v="29"/>
    <n v="29"/>
    <x v="41"/>
    <x v="37"/>
    <x v="1"/>
    <s v="шт."/>
    <s v="нед."/>
    <s v="Банк"/>
    <m/>
    <x v="1"/>
    <s v="Обратная связь по предлагаемым действиям"/>
  </r>
  <r>
    <x v="29"/>
    <n v="56"/>
    <x v="41"/>
    <x v="37"/>
    <x v="1"/>
    <s v="шт."/>
    <s v="нед."/>
    <s v="Банк"/>
    <m/>
    <x v="1"/>
    <s v="Обратная связь по расчетам отклонения"/>
  </r>
  <r>
    <x v="30"/>
    <n v="84"/>
    <x v="41"/>
    <x v="37"/>
    <x v="1"/>
    <s v="шт."/>
    <s v="нед."/>
    <s v="Банк"/>
    <m/>
    <x v="1"/>
    <s v="Другое"/>
  </r>
  <r>
    <x v="30"/>
    <n v="86"/>
    <x v="41"/>
    <x v="37"/>
    <x v="1"/>
    <s v="шт."/>
    <s v="нед."/>
    <s v="Банк"/>
    <m/>
    <x v="1"/>
    <s v="Комментарии к выполненным мероприятиям"/>
  </r>
  <r>
    <x v="30"/>
    <n v="3"/>
    <x v="41"/>
    <x v="37"/>
    <x v="1"/>
    <s v="шт."/>
    <s v="нед."/>
    <s v="Банк"/>
    <m/>
    <x v="1"/>
    <s v="Обратная связь по интерфейсу"/>
  </r>
  <r>
    <x v="30"/>
    <n v="22"/>
    <x v="41"/>
    <x v="37"/>
    <x v="1"/>
    <s v="шт."/>
    <s v="нед."/>
    <s v="Банк"/>
    <m/>
    <x v="1"/>
    <s v="Обратная связь по предлагаемым действиям"/>
  </r>
  <r>
    <x v="30"/>
    <n v="47"/>
    <x v="41"/>
    <x v="37"/>
    <x v="1"/>
    <s v="шт."/>
    <s v="нед."/>
    <s v="Банк"/>
    <m/>
    <x v="1"/>
    <s v="Обратная связь по расчетам отклонения"/>
  </r>
  <r>
    <x v="17"/>
    <n v="1951"/>
    <x v="42"/>
    <x v="38"/>
    <x v="1"/>
    <s v="шт."/>
    <s v="4_2025"/>
    <s v="Банк"/>
    <m/>
    <x v="0"/>
    <m/>
  </r>
  <r>
    <x v="28"/>
    <n v="1938"/>
    <x v="42"/>
    <x v="38"/>
    <x v="1"/>
    <s v="шт."/>
    <s v="1_2026"/>
    <s v="Банк"/>
    <m/>
    <x v="0"/>
    <m/>
  </r>
  <r>
    <x v="16"/>
    <n v="-1"/>
    <x v="10"/>
    <x v="10"/>
    <x v="0"/>
    <s v="шт."/>
    <s v="нед."/>
    <s v="Банк"/>
    <m/>
    <x v="9"/>
    <m/>
  </r>
  <r>
    <x v="16"/>
    <n v="-1"/>
    <x v="10"/>
    <x v="10"/>
    <x v="0"/>
    <s v="шт."/>
    <s v="нед."/>
    <s v="Банк"/>
    <m/>
    <x v="27"/>
    <m/>
  </r>
  <r>
    <x v="4"/>
    <n v="-1"/>
    <x v="10"/>
    <x v="10"/>
    <x v="0"/>
    <s v="шт."/>
    <s v="нед."/>
    <s v="Банк"/>
    <m/>
    <x v="28"/>
    <m/>
  </r>
  <r>
    <x v="0"/>
    <n v="38"/>
    <x v="43"/>
    <x v="39"/>
    <x v="1"/>
    <s v="%"/>
    <s v="нед."/>
    <s v="Банк"/>
    <m/>
    <x v="1"/>
    <m/>
  </r>
  <r>
    <x v="1"/>
    <n v="38"/>
    <x v="43"/>
    <x v="39"/>
    <x v="1"/>
    <s v="%"/>
    <s v="нед."/>
    <s v="Банк"/>
    <m/>
    <x v="1"/>
    <m/>
  </r>
  <r>
    <x v="2"/>
    <n v="37"/>
    <x v="43"/>
    <x v="39"/>
    <x v="1"/>
    <s v="%"/>
    <s v="нед."/>
    <s v="Банк"/>
    <m/>
    <x v="1"/>
    <m/>
  </r>
  <r>
    <x v="3"/>
    <n v="41"/>
    <x v="43"/>
    <x v="39"/>
    <x v="1"/>
    <s v="%"/>
    <s v="нед."/>
    <s v="Банк"/>
    <m/>
    <x v="1"/>
    <m/>
  </r>
  <r>
    <x v="4"/>
    <n v="41"/>
    <x v="43"/>
    <x v="39"/>
    <x v="1"/>
    <s v="%"/>
    <s v="нед."/>
    <s v="Банк"/>
    <m/>
    <x v="1"/>
    <m/>
  </r>
  <r>
    <x v="5"/>
    <n v="43"/>
    <x v="43"/>
    <x v="39"/>
    <x v="1"/>
    <s v="%"/>
    <s v="нед."/>
    <s v="Банк"/>
    <m/>
    <x v="1"/>
    <m/>
  </r>
  <r>
    <x v="6"/>
    <n v="45"/>
    <x v="43"/>
    <x v="39"/>
    <x v="1"/>
    <s v="%"/>
    <s v="нед."/>
    <s v="Банк"/>
    <m/>
    <x v="1"/>
    <m/>
  </r>
  <r>
    <x v="7"/>
    <n v="43"/>
    <x v="43"/>
    <x v="39"/>
    <x v="1"/>
    <s v="%"/>
    <s v="нед."/>
    <s v="Банк"/>
    <m/>
    <x v="1"/>
    <m/>
  </r>
  <r>
    <x v="8"/>
    <n v="44"/>
    <x v="43"/>
    <x v="39"/>
    <x v="1"/>
    <s v="%"/>
    <s v="нед."/>
    <s v="Банк"/>
    <m/>
    <x v="1"/>
    <m/>
  </r>
  <r>
    <x v="9"/>
    <n v="43"/>
    <x v="43"/>
    <x v="39"/>
    <x v="1"/>
    <s v="%"/>
    <s v="нед."/>
    <s v="Банк"/>
    <m/>
    <x v="1"/>
    <m/>
  </r>
  <r>
    <x v="10"/>
    <n v="40"/>
    <x v="43"/>
    <x v="39"/>
    <x v="1"/>
    <s v="%"/>
    <s v="нед."/>
    <s v="Банк"/>
    <m/>
    <x v="1"/>
    <m/>
  </r>
  <r>
    <x v="11"/>
    <n v="42"/>
    <x v="43"/>
    <x v="39"/>
    <x v="1"/>
    <s v="%"/>
    <s v="нед."/>
    <s v="Банк"/>
    <m/>
    <x v="1"/>
    <m/>
  </r>
  <r>
    <x v="12"/>
    <n v="44"/>
    <x v="43"/>
    <x v="39"/>
    <x v="1"/>
    <s v="%"/>
    <s v="нед."/>
    <s v="Банк"/>
    <m/>
    <x v="1"/>
    <m/>
  </r>
  <r>
    <x v="13"/>
    <n v="43"/>
    <x v="43"/>
    <x v="39"/>
    <x v="1"/>
    <s v="%"/>
    <s v="нед."/>
    <s v="Банк"/>
    <m/>
    <x v="1"/>
    <m/>
  </r>
  <r>
    <x v="14"/>
    <n v="43"/>
    <x v="43"/>
    <x v="39"/>
    <x v="1"/>
    <s v="%"/>
    <s v="нед."/>
    <s v="Банк"/>
    <m/>
    <x v="1"/>
    <m/>
  </r>
  <r>
    <x v="15"/>
    <n v="43"/>
    <x v="43"/>
    <x v="39"/>
    <x v="1"/>
    <s v="%"/>
    <s v="нед."/>
    <s v="Банк"/>
    <m/>
    <x v="1"/>
    <m/>
  </r>
  <r>
    <x v="16"/>
    <n v="39"/>
    <x v="43"/>
    <x v="39"/>
    <x v="1"/>
    <s v="%"/>
    <s v="нед."/>
    <s v="Банк"/>
    <m/>
    <x v="1"/>
    <m/>
  </r>
  <r>
    <x v="17"/>
    <n v="40"/>
    <x v="43"/>
    <x v="39"/>
    <x v="1"/>
    <s v="%"/>
    <s v="нед."/>
    <s v="Банк"/>
    <m/>
    <x v="1"/>
    <m/>
  </r>
  <r>
    <x v="18"/>
    <n v="37"/>
    <x v="43"/>
    <x v="39"/>
    <x v="1"/>
    <s v="%"/>
    <s v="нед."/>
    <s v="Банк"/>
    <m/>
    <x v="1"/>
    <m/>
  </r>
  <r>
    <x v="19"/>
    <n v="42"/>
    <x v="43"/>
    <x v="39"/>
    <x v="1"/>
    <s v="%"/>
    <s v="нед."/>
    <s v="Банк"/>
    <m/>
    <x v="1"/>
    <m/>
  </r>
  <r>
    <x v="20"/>
    <n v="44"/>
    <x v="43"/>
    <x v="39"/>
    <x v="1"/>
    <s v="%"/>
    <s v="нед."/>
    <s v="Банк"/>
    <m/>
    <x v="1"/>
    <m/>
  </r>
  <r>
    <x v="21"/>
    <n v="48"/>
    <x v="43"/>
    <x v="39"/>
    <x v="1"/>
    <s v="%"/>
    <s v="нед."/>
    <s v="Банк"/>
    <m/>
    <x v="1"/>
    <m/>
  </r>
  <r>
    <x v="22"/>
    <n v="50"/>
    <x v="43"/>
    <x v="39"/>
    <x v="1"/>
    <s v="%"/>
    <s v="нед."/>
    <s v="Банк"/>
    <m/>
    <x v="1"/>
    <m/>
  </r>
  <r>
    <x v="23"/>
    <n v="48"/>
    <x v="43"/>
    <x v="39"/>
    <x v="1"/>
    <s v="%"/>
    <s v="нед."/>
    <s v="Банк"/>
    <m/>
    <x v="1"/>
    <m/>
  </r>
  <r>
    <x v="24"/>
    <n v="48"/>
    <x v="43"/>
    <x v="39"/>
    <x v="1"/>
    <s v="%"/>
    <s v="нед."/>
    <s v="Банк"/>
    <m/>
    <x v="1"/>
    <m/>
  </r>
  <r>
    <x v="26"/>
    <n v="49"/>
    <x v="43"/>
    <x v="39"/>
    <x v="1"/>
    <s v="%"/>
    <s v="нед."/>
    <s v="Банк"/>
    <m/>
    <x v="1"/>
    <m/>
  </r>
  <r>
    <x v="27"/>
    <n v="47"/>
    <x v="43"/>
    <x v="39"/>
    <x v="1"/>
    <s v="%"/>
    <s v="нед."/>
    <s v="Банк"/>
    <m/>
    <x v="1"/>
    <m/>
  </r>
  <r>
    <x v="28"/>
    <n v="47"/>
    <x v="43"/>
    <x v="39"/>
    <x v="1"/>
    <s v="%"/>
    <s v="нед."/>
    <s v="Банк"/>
    <m/>
    <x v="1"/>
    <m/>
  </r>
  <r>
    <x v="29"/>
    <n v="48"/>
    <x v="43"/>
    <x v="39"/>
    <x v="1"/>
    <s v="%"/>
    <s v="нед."/>
    <s v="Банк"/>
    <m/>
    <x v="1"/>
    <m/>
  </r>
  <r>
    <x v="0"/>
    <n v="48"/>
    <x v="44"/>
    <x v="40"/>
    <x v="1"/>
    <s v="%"/>
    <s v="нед."/>
    <s v="Банк"/>
    <m/>
    <x v="1"/>
    <m/>
  </r>
  <r>
    <x v="1"/>
    <n v="48"/>
    <x v="44"/>
    <x v="40"/>
    <x v="1"/>
    <s v="%"/>
    <s v="нед."/>
    <s v="Банк"/>
    <m/>
    <x v="1"/>
    <m/>
  </r>
  <r>
    <x v="2"/>
    <n v="48"/>
    <x v="44"/>
    <x v="40"/>
    <x v="1"/>
    <s v="%"/>
    <s v="нед."/>
    <s v="Банк"/>
    <m/>
    <x v="1"/>
    <m/>
  </r>
  <r>
    <x v="3"/>
    <n v="49"/>
    <x v="44"/>
    <x v="40"/>
    <x v="1"/>
    <s v="%"/>
    <s v="нед."/>
    <s v="Банк"/>
    <m/>
    <x v="1"/>
    <m/>
  </r>
  <r>
    <x v="4"/>
    <n v="50"/>
    <x v="44"/>
    <x v="40"/>
    <x v="1"/>
    <s v="%"/>
    <s v="нед."/>
    <s v="Банк"/>
    <m/>
    <x v="1"/>
    <m/>
  </r>
  <r>
    <x v="5"/>
    <n v="53"/>
    <x v="44"/>
    <x v="40"/>
    <x v="1"/>
    <s v="%"/>
    <s v="нед."/>
    <s v="Банк"/>
    <m/>
    <x v="1"/>
    <m/>
  </r>
  <r>
    <x v="6"/>
    <n v="52"/>
    <x v="44"/>
    <x v="40"/>
    <x v="1"/>
    <s v="%"/>
    <s v="нед."/>
    <s v="Банк"/>
    <m/>
    <x v="1"/>
    <m/>
  </r>
  <r>
    <x v="7"/>
    <n v="51"/>
    <x v="44"/>
    <x v="40"/>
    <x v="1"/>
    <s v="%"/>
    <s v="нед."/>
    <s v="Банк"/>
    <m/>
    <x v="1"/>
    <m/>
  </r>
  <r>
    <x v="8"/>
    <n v="51"/>
    <x v="44"/>
    <x v="40"/>
    <x v="1"/>
    <s v="%"/>
    <s v="нед."/>
    <s v="Банк"/>
    <m/>
    <x v="1"/>
    <m/>
  </r>
  <r>
    <x v="9"/>
    <n v="51"/>
    <x v="44"/>
    <x v="40"/>
    <x v="1"/>
    <s v="%"/>
    <s v="нед."/>
    <s v="Банк"/>
    <m/>
    <x v="1"/>
    <m/>
  </r>
  <r>
    <x v="10"/>
    <n v="48"/>
    <x v="44"/>
    <x v="40"/>
    <x v="1"/>
    <s v="%"/>
    <s v="нед."/>
    <s v="Банк"/>
    <m/>
    <x v="1"/>
    <m/>
  </r>
  <r>
    <x v="11"/>
    <n v="49"/>
    <x v="44"/>
    <x v="40"/>
    <x v="1"/>
    <s v="%"/>
    <s v="нед."/>
    <s v="Банк"/>
    <m/>
    <x v="1"/>
    <m/>
  </r>
  <r>
    <x v="12"/>
    <n v="51"/>
    <x v="44"/>
    <x v="40"/>
    <x v="1"/>
    <s v="%"/>
    <s v="нед."/>
    <s v="Банк"/>
    <m/>
    <x v="1"/>
    <m/>
  </r>
  <r>
    <x v="13"/>
    <n v="51"/>
    <x v="44"/>
    <x v="40"/>
    <x v="1"/>
    <s v="%"/>
    <s v="нед."/>
    <s v="Банк"/>
    <m/>
    <x v="1"/>
    <m/>
  </r>
  <r>
    <x v="14"/>
    <n v="51"/>
    <x v="44"/>
    <x v="40"/>
    <x v="1"/>
    <s v="%"/>
    <s v="нед."/>
    <s v="Банк"/>
    <m/>
    <x v="1"/>
    <m/>
  </r>
  <r>
    <x v="15"/>
    <n v="50"/>
    <x v="44"/>
    <x v="40"/>
    <x v="1"/>
    <s v="%"/>
    <s v="нед."/>
    <s v="Банк"/>
    <m/>
    <x v="1"/>
    <m/>
  </r>
  <r>
    <x v="16"/>
    <n v="47"/>
    <x v="44"/>
    <x v="40"/>
    <x v="1"/>
    <s v="%"/>
    <s v="нед."/>
    <s v="Банк"/>
    <m/>
    <x v="1"/>
    <m/>
  </r>
  <r>
    <x v="17"/>
    <n v="48"/>
    <x v="44"/>
    <x v="40"/>
    <x v="1"/>
    <s v="%"/>
    <s v="нед."/>
    <s v="Банк"/>
    <m/>
    <x v="1"/>
    <m/>
  </r>
  <r>
    <x v="18"/>
    <n v="48"/>
    <x v="44"/>
    <x v="40"/>
    <x v="1"/>
    <s v="%"/>
    <s v="нед."/>
    <s v="Банк"/>
    <m/>
    <x v="1"/>
    <m/>
  </r>
  <r>
    <x v="19"/>
    <n v="54"/>
    <x v="44"/>
    <x v="40"/>
    <x v="1"/>
    <s v="%"/>
    <s v="нед."/>
    <s v="Банк"/>
    <m/>
    <x v="1"/>
    <m/>
  </r>
  <r>
    <x v="20"/>
    <n v="56.00000000000001"/>
    <x v="44"/>
    <x v="40"/>
    <x v="1"/>
    <s v="%"/>
    <s v="нед."/>
    <s v="Банк"/>
    <m/>
    <x v="1"/>
    <m/>
  </r>
  <r>
    <x v="21"/>
    <n v="51"/>
    <x v="44"/>
    <x v="40"/>
    <x v="1"/>
    <s v="%"/>
    <s v="нед."/>
    <s v="Банк"/>
    <m/>
    <x v="1"/>
    <m/>
  </r>
  <r>
    <x v="22"/>
    <n v="52"/>
    <x v="44"/>
    <x v="40"/>
    <x v="1"/>
    <s v="%"/>
    <s v="нед."/>
    <s v="Банк"/>
    <m/>
    <x v="1"/>
    <m/>
  </r>
  <r>
    <x v="23"/>
    <n v="52"/>
    <x v="44"/>
    <x v="40"/>
    <x v="1"/>
    <s v="%"/>
    <s v="нед."/>
    <s v="Банк"/>
    <m/>
    <x v="1"/>
    <m/>
  </r>
  <r>
    <x v="24"/>
    <n v="51"/>
    <x v="44"/>
    <x v="40"/>
    <x v="1"/>
    <s v="%"/>
    <s v="нед."/>
    <s v="Банк"/>
    <m/>
    <x v="1"/>
    <m/>
  </r>
  <r>
    <x v="26"/>
    <n v="48"/>
    <x v="44"/>
    <x v="40"/>
    <x v="1"/>
    <s v="%"/>
    <s v="нед."/>
    <s v="Банк"/>
    <m/>
    <x v="1"/>
    <m/>
  </r>
  <r>
    <x v="27"/>
    <n v="49"/>
    <x v="44"/>
    <x v="40"/>
    <x v="1"/>
    <s v="%"/>
    <s v="нед."/>
    <s v="Банк"/>
    <m/>
    <x v="1"/>
    <m/>
  </r>
  <r>
    <x v="28"/>
    <n v="49"/>
    <x v="44"/>
    <x v="40"/>
    <x v="1"/>
    <s v="%"/>
    <s v="нед."/>
    <s v="Банк"/>
    <m/>
    <x v="1"/>
    <m/>
  </r>
  <r>
    <x v="29"/>
    <n v="50"/>
    <x v="44"/>
    <x v="40"/>
    <x v="1"/>
    <s v="%"/>
    <s v="нед."/>
    <s v="Банк"/>
    <m/>
    <x v="1"/>
    <m/>
  </r>
  <r>
    <x v="33"/>
    <n v="20"/>
    <x v="0"/>
    <x v="0"/>
    <x v="0"/>
    <s v="шт."/>
    <s v="нед."/>
    <s v="Банк"/>
    <m/>
    <x v="0"/>
    <m/>
  </r>
  <r>
    <x v="33"/>
    <n v="40"/>
    <x v="9"/>
    <x v="9"/>
    <x v="0"/>
    <s v="шт."/>
    <s v="нед."/>
    <s v="Банк"/>
    <m/>
    <x v="0"/>
    <m/>
  </r>
  <r>
    <x v="34"/>
    <n v="40"/>
    <x v="9"/>
    <x v="9"/>
    <x v="0"/>
    <s v="шт."/>
    <s v="нед."/>
    <s v="Банк"/>
    <m/>
    <x v="0"/>
    <m/>
  </r>
  <r>
    <x v="35"/>
    <n v="40"/>
    <x v="9"/>
    <x v="9"/>
    <x v="0"/>
    <s v="шт."/>
    <s v="нед."/>
    <s v="Банк"/>
    <m/>
    <x v="0"/>
    <m/>
  </r>
  <r>
    <x v="34"/>
    <n v="20"/>
    <x v="0"/>
    <x v="0"/>
    <x v="0"/>
    <s v="шт."/>
    <s v="нед."/>
    <s v="Банк"/>
    <m/>
    <x v="0"/>
    <m/>
  </r>
  <r>
    <x v="35"/>
    <n v="20"/>
    <x v="0"/>
    <x v="0"/>
    <x v="0"/>
    <s v="шт."/>
    <s v="нед."/>
    <s v="Банк"/>
    <m/>
    <x v="0"/>
    <m/>
  </r>
  <r>
    <x v="33"/>
    <n v="1346"/>
    <x v="36"/>
    <x v="35"/>
    <x v="0"/>
    <s v="шт."/>
    <s v="нед."/>
    <s v="Банк"/>
    <m/>
    <x v="0"/>
    <m/>
  </r>
  <r>
    <x v="34"/>
    <n v="1108"/>
    <x v="36"/>
    <x v="35"/>
    <x v="0"/>
    <s v="шт."/>
    <s v="нед."/>
    <s v="Банк"/>
    <m/>
    <x v="0"/>
    <m/>
  </r>
  <r>
    <x v="35"/>
    <n v="1157"/>
    <x v="36"/>
    <x v="35"/>
    <x v="0"/>
    <s v="шт."/>
    <s v="нед."/>
    <s v="Банк"/>
    <m/>
    <x v="0"/>
    <m/>
  </r>
  <r>
    <x v="33"/>
    <n v="933"/>
    <x v="37"/>
    <x v="36"/>
    <x v="0"/>
    <s v="шт."/>
    <s v="нед."/>
    <s v="Банк"/>
    <m/>
    <x v="0"/>
    <m/>
  </r>
  <r>
    <x v="34"/>
    <n v="928"/>
    <x v="37"/>
    <x v="36"/>
    <x v="0"/>
    <s v="шт."/>
    <s v="нед."/>
    <s v="Банк"/>
    <m/>
    <x v="0"/>
    <m/>
  </r>
  <r>
    <x v="35"/>
    <n v="936"/>
    <x v="37"/>
    <x v="36"/>
    <x v="0"/>
    <s v="шт."/>
    <s v="нед."/>
    <s v="Банк"/>
    <m/>
    <x v="0"/>
    <m/>
  </r>
  <r>
    <x v="33"/>
    <n v="305"/>
    <x v="40"/>
    <x v="37"/>
    <x v="2"/>
    <s v="шт."/>
    <s v="нед."/>
    <s v="Банк"/>
    <m/>
    <x v="0"/>
    <s v="Другое"/>
  </r>
  <r>
    <x v="33"/>
    <n v="253"/>
    <x v="40"/>
    <x v="37"/>
    <x v="2"/>
    <s v="шт."/>
    <s v="нед."/>
    <s v="Банк"/>
    <m/>
    <x v="0"/>
    <s v="Комментарии к выполненным мероприятиям"/>
  </r>
  <r>
    <x v="33"/>
    <n v="8"/>
    <x v="40"/>
    <x v="37"/>
    <x v="2"/>
    <s v="шт."/>
    <s v="нед."/>
    <s v="Банк"/>
    <m/>
    <x v="0"/>
    <s v="Обратная связь по интерфейсу"/>
  </r>
  <r>
    <x v="33"/>
    <n v="56"/>
    <x v="40"/>
    <x v="37"/>
    <x v="2"/>
    <s v="шт."/>
    <s v="нед."/>
    <s v="Банк"/>
    <m/>
    <x v="0"/>
    <s v="Обратная связь по предлагаемым действиям"/>
  </r>
  <r>
    <x v="33"/>
    <n v="164"/>
    <x v="40"/>
    <x v="37"/>
    <x v="2"/>
    <s v="шт."/>
    <s v="нед."/>
    <s v="Банк"/>
    <m/>
    <x v="0"/>
    <s v="Обратная связь по расчетам отклонения"/>
  </r>
  <r>
    <x v="34"/>
    <n v="328"/>
    <x v="40"/>
    <x v="37"/>
    <x v="2"/>
    <s v="шт."/>
    <s v="нед."/>
    <s v="Банк"/>
    <m/>
    <x v="0"/>
    <s v="Другое"/>
  </r>
  <r>
    <x v="34"/>
    <n v="330"/>
    <x v="40"/>
    <x v="37"/>
    <x v="2"/>
    <s v="шт."/>
    <s v="нед."/>
    <s v="Банк"/>
    <m/>
    <x v="0"/>
    <s v="Комментарии к выполненным мероприятиям"/>
  </r>
  <r>
    <x v="34"/>
    <n v="10"/>
    <x v="40"/>
    <x v="37"/>
    <x v="2"/>
    <s v="шт."/>
    <s v="нед."/>
    <s v="Банк"/>
    <m/>
    <x v="0"/>
    <s v="Обратная связь по интерфейсу"/>
  </r>
  <r>
    <x v="34"/>
    <n v="43"/>
    <x v="40"/>
    <x v="37"/>
    <x v="2"/>
    <s v="шт."/>
    <s v="нед."/>
    <s v="Банк"/>
    <m/>
    <x v="0"/>
    <s v="Обратная связь по предлагаемым действиям"/>
  </r>
  <r>
    <x v="34"/>
    <n v="168"/>
    <x v="40"/>
    <x v="37"/>
    <x v="2"/>
    <s v="шт."/>
    <s v="нед."/>
    <s v="Банк"/>
    <m/>
    <x v="0"/>
    <s v="Обратная связь по расчетам отклонения"/>
  </r>
  <r>
    <x v="35"/>
    <n v="311"/>
    <x v="40"/>
    <x v="37"/>
    <x v="2"/>
    <s v="шт."/>
    <s v="нед."/>
    <s v="Банк"/>
    <m/>
    <x v="0"/>
    <s v="Другое"/>
  </r>
  <r>
    <x v="35"/>
    <n v="257"/>
    <x v="40"/>
    <x v="37"/>
    <x v="2"/>
    <s v="шт."/>
    <s v="нед."/>
    <s v="Банк"/>
    <m/>
    <x v="0"/>
    <s v="Комментарии к выполненным мероприятиям"/>
  </r>
  <r>
    <x v="35"/>
    <n v="10"/>
    <x v="40"/>
    <x v="37"/>
    <x v="2"/>
    <s v="шт."/>
    <s v="нед."/>
    <s v="Банк"/>
    <m/>
    <x v="0"/>
    <s v="Обратная связь по интерфейсу"/>
  </r>
  <r>
    <x v="35"/>
    <n v="50"/>
    <x v="40"/>
    <x v="37"/>
    <x v="2"/>
    <s v="шт."/>
    <s v="нед."/>
    <s v="Банк"/>
    <m/>
    <x v="0"/>
    <s v="Обратная связь по предлагаемым действиям"/>
  </r>
  <r>
    <x v="35"/>
    <n v="159"/>
    <x v="40"/>
    <x v="37"/>
    <x v="2"/>
    <s v="шт."/>
    <s v="нед."/>
    <s v="Банк"/>
    <m/>
    <x v="0"/>
    <s v="Обратная связь по расчетам отклонения"/>
  </r>
  <r>
    <x v="30"/>
    <n v="50"/>
    <x v="43"/>
    <x v="39"/>
    <x v="1"/>
    <s v="%"/>
    <s v="нед."/>
    <s v="Банк"/>
    <m/>
    <x v="1"/>
    <m/>
  </r>
  <r>
    <x v="33"/>
    <n v="47"/>
    <x v="43"/>
    <x v="39"/>
    <x v="1"/>
    <s v="%"/>
    <s v="нед."/>
    <s v="Банк"/>
    <m/>
    <x v="1"/>
    <m/>
  </r>
  <r>
    <x v="34"/>
    <n v="48"/>
    <x v="43"/>
    <x v="39"/>
    <x v="1"/>
    <s v="%"/>
    <s v="нед."/>
    <s v="Банк"/>
    <m/>
    <x v="1"/>
    <m/>
  </r>
  <r>
    <x v="35"/>
    <n v="48"/>
    <x v="43"/>
    <x v="39"/>
    <x v="1"/>
    <s v="%"/>
    <s v="нед."/>
    <s v="Банк"/>
    <m/>
    <x v="1"/>
    <m/>
  </r>
  <r>
    <x v="30"/>
    <n v="72"/>
    <x v="44"/>
    <x v="40"/>
    <x v="1"/>
    <s v="%"/>
    <s v="нед."/>
    <s v="Банк"/>
    <m/>
    <x v="1"/>
    <m/>
  </r>
  <r>
    <x v="33"/>
    <n v="74"/>
    <x v="44"/>
    <x v="40"/>
    <x v="1"/>
    <s v="%"/>
    <s v="нед."/>
    <s v="Банк"/>
    <m/>
    <x v="1"/>
    <m/>
  </r>
  <r>
    <x v="34"/>
    <n v="71"/>
    <x v="44"/>
    <x v="40"/>
    <x v="1"/>
    <s v="%"/>
    <s v="нед."/>
    <s v="Банк"/>
    <m/>
    <x v="1"/>
    <m/>
  </r>
  <r>
    <x v="35"/>
    <n v="73"/>
    <x v="44"/>
    <x v="40"/>
    <x v="1"/>
    <s v="%"/>
    <s v="нед."/>
    <s v="Банк"/>
    <m/>
    <x v="1"/>
    <m/>
  </r>
  <r>
    <x v="33"/>
    <n v="550"/>
    <x v="38"/>
    <x v="35"/>
    <x v="1"/>
    <s v="%"/>
    <s v="нед."/>
    <s v="Банк"/>
    <m/>
    <x v="1"/>
    <m/>
  </r>
  <r>
    <x v="34"/>
    <n v="491"/>
    <x v="38"/>
    <x v="35"/>
    <x v="1"/>
    <s v="%"/>
    <s v="нед."/>
    <s v="Банк"/>
    <m/>
    <x v="1"/>
    <m/>
  </r>
  <r>
    <x v="35"/>
    <n v="531"/>
    <x v="38"/>
    <x v="35"/>
    <x v="1"/>
    <s v="%"/>
    <s v="нед."/>
    <s v="Банк"/>
    <m/>
    <x v="1"/>
    <m/>
  </r>
  <r>
    <x v="33"/>
    <n v="312"/>
    <x v="39"/>
    <x v="36"/>
    <x v="1"/>
    <s v="%"/>
    <s v="нед."/>
    <s v="Банк"/>
    <m/>
    <x v="1"/>
    <m/>
  </r>
  <r>
    <x v="34"/>
    <n v="323"/>
    <x v="39"/>
    <x v="36"/>
    <x v="1"/>
    <s v="%"/>
    <s v="нед."/>
    <s v="Банк"/>
    <m/>
    <x v="1"/>
    <m/>
  </r>
  <r>
    <x v="35"/>
    <n v="341"/>
    <x v="39"/>
    <x v="36"/>
    <x v="1"/>
    <s v="%"/>
    <s v="нед."/>
    <s v="Банк"/>
    <m/>
    <x v="1"/>
    <m/>
  </r>
  <r>
    <x v="33"/>
    <n v="251"/>
    <x v="41"/>
    <x v="37"/>
    <x v="1"/>
    <s v="шт."/>
    <s v="нед."/>
    <s v="Банк"/>
    <m/>
    <x v="1"/>
    <m/>
  </r>
  <r>
    <x v="34"/>
    <n v="350"/>
    <x v="41"/>
    <x v="37"/>
    <x v="1"/>
    <s v="шт."/>
    <s v="нед."/>
    <s v="Банк"/>
    <m/>
    <x v="1"/>
    <m/>
  </r>
  <r>
    <x v="35"/>
    <n v="324"/>
    <x v="41"/>
    <x v="37"/>
    <x v="1"/>
    <s v="шт."/>
    <s v="нед."/>
    <s v="Банк"/>
    <m/>
    <x v="1"/>
    <m/>
  </r>
  <r>
    <x v="33"/>
    <n v="4.46"/>
    <x v="3"/>
    <x v="3"/>
    <x v="0"/>
    <s v="повтор."/>
    <s v="нед."/>
    <s v="Банк"/>
    <m/>
    <x v="0"/>
    <m/>
  </r>
  <r>
    <x v="34"/>
    <n v="4.43"/>
    <x v="3"/>
    <x v="3"/>
    <x v="0"/>
    <s v="повтор."/>
    <s v="нед."/>
    <s v="Банк"/>
    <m/>
    <x v="0"/>
    <m/>
  </r>
  <r>
    <x v="35"/>
    <n v="3.72"/>
    <x v="3"/>
    <x v="3"/>
    <x v="0"/>
    <s v="повтор."/>
    <s v="нед."/>
    <s v="Банк"/>
    <m/>
    <x v="0"/>
    <m/>
  </r>
  <r>
    <x v="33"/>
    <n v="5.06"/>
    <x v="4"/>
    <x v="4"/>
    <x v="0"/>
    <s v="%"/>
    <s v="нед."/>
    <s v="Банк"/>
    <m/>
    <x v="0"/>
    <m/>
  </r>
  <r>
    <x v="34"/>
    <n v="4.75"/>
    <x v="4"/>
    <x v="4"/>
    <x v="0"/>
    <s v="%"/>
    <s v="нед."/>
    <s v="Банк"/>
    <m/>
    <x v="0"/>
    <m/>
  </r>
  <r>
    <x v="35"/>
    <n v="4.56"/>
    <x v="4"/>
    <x v="4"/>
    <x v="0"/>
    <s v="%"/>
    <s v="нед."/>
    <s v="Банк"/>
    <m/>
    <x v="0"/>
    <m/>
  </r>
  <r>
    <x v="33"/>
    <n v="712"/>
    <x v="1"/>
    <x v="1"/>
    <x v="0"/>
    <s v="шт."/>
    <s v="нед."/>
    <s v="Банк"/>
    <m/>
    <x v="0"/>
    <m/>
  </r>
  <r>
    <x v="34"/>
    <n v="662"/>
    <x v="1"/>
    <x v="1"/>
    <x v="0"/>
    <s v="шт."/>
    <s v="нед."/>
    <s v="Банк"/>
    <m/>
    <x v="0"/>
    <m/>
  </r>
  <r>
    <x v="35"/>
    <n v="648"/>
    <x v="1"/>
    <x v="1"/>
    <x v="0"/>
    <s v="шт."/>
    <s v="нед."/>
    <s v="Банк"/>
    <m/>
    <x v="0"/>
    <m/>
  </r>
  <r>
    <x v="33"/>
    <n v="1115"/>
    <x v="2"/>
    <x v="2"/>
    <x v="0"/>
    <s v="чел."/>
    <s v="нед."/>
    <s v="Банк"/>
    <m/>
    <x v="0"/>
    <m/>
  </r>
  <r>
    <x v="34"/>
    <n v="960"/>
    <x v="2"/>
    <x v="2"/>
    <x v="0"/>
    <s v="чел."/>
    <s v="нед."/>
    <s v="Банк"/>
    <m/>
    <x v="0"/>
    <m/>
  </r>
  <r>
    <x v="35"/>
    <n v="1104"/>
    <x v="2"/>
    <x v="2"/>
    <x v="0"/>
    <s v="чел."/>
    <s v="нед."/>
    <s v="Банк"/>
    <m/>
    <x v="0"/>
    <m/>
  </r>
  <r>
    <x v="33"/>
    <n v="393"/>
    <x v="7"/>
    <x v="7"/>
    <x v="1"/>
    <s v="шт."/>
    <s v="нед."/>
    <s v="Банк"/>
    <m/>
    <x v="1"/>
    <m/>
  </r>
  <r>
    <x v="34"/>
    <n v="367"/>
    <x v="7"/>
    <x v="7"/>
    <x v="1"/>
    <s v="шт."/>
    <s v="нед."/>
    <s v="Банк"/>
    <m/>
    <x v="1"/>
    <m/>
  </r>
  <r>
    <x v="35"/>
    <n v="394"/>
    <x v="7"/>
    <x v="7"/>
    <x v="1"/>
    <s v="шт."/>
    <s v="нед."/>
    <s v="Банк"/>
    <m/>
    <x v="1"/>
    <m/>
  </r>
  <r>
    <x v="33"/>
    <n v="550"/>
    <x v="6"/>
    <x v="6"/>
    <x v="1"/>
    <s v="чел."/>
    <s v="нед."/>
    <s v="Банк"/>
    <m/>
    <x v="1"/>
    <m/>
  </r>
  <r>
    <x v="34"/>
    <n v="492"/>
    <x v="6"/>
    <x v="6"/>
    <x v="1"/>
    <s v="чел."/>
    <s v="нед."/>
    <s v="Банк"/>
    <m/>
    <x v="1"/>
    <m/>
  </r>
  <r>
    <x v="35"/>
    <n v="531"/>
    <x v="6"/>
    <x v="6"/>
    <x v="1"/>
    <s v="чел."/>
    <s v="нед."/>
    <s v="Банк"/>
    <m/>
    <x v="1"/>
    <m/>
  </r>
  <r>
    <x v="33"/>
    <n v="31.16"/>
    <x v="5"/>
    <x v="5"/>
    <x v="1"/>
    <s v="%"/>
    <s v="нед."/>
    <s v="Банк"/>
    <m/>
    <x v="1"/>
    <m/>
  </r>
  <r>
    <x v="34"/>
    <n v="28.66"/>
    <x v="5"/>
    <x v="5"/>
    <x v="1"/>
    <s v="%"/>
    <s v="нед."/>
    <s v="Банк"/>
    <m/>
    <x v="1"/>
    <m/>
  </r>
  <r>
    <x v="35"/>
    <n v="28.09"/>
    <x v="5"/>
    <x v="5"/>
    <x v="1"/>
    <s v="%"/>
    <s v="нед."/>
    <s v="Банк"/>
    <m/>
    <x v="1"/>
    <m/>
  </r>
  <r>
    <x v="33"/>
    <n v="1.99"/>
    <x v="8"/>
    <x v="8"/>
    <x v="1"/>
    <s v="нед."/>
    <s v="нед."/>
    <s v="Банк"/>
    <m/>
    <x v="1"/>
    <m/>
  </r>
  <r>
    <x v="34"/>
    <n v="2.56"/>
    <x v="8"/>
    <x v="8"/>
    <x v="1"/>
    <s v="нед."/>
    <s v="нед."/>
    <s v="Банк"/>
    <m/>
    <x v="1"/>
    <m/>
  </r>
  <r>
    <x v="35"/>
    <n v="2.4"/>
    <x v="8"/>
    <x v="8"/>
    <x v="1"/>
    <s v="нед."/>
    <s v="нед."/>
    <s v="Банк"/>
    <m/>
    <x v="1"/>
    <m/>
  </r>
  <r>
    <x v="36"/>
    <m/>
    <x v="45"/>
    <x v="41"/>
    <x v="3"/>
    <m/>
    <m/>
    <m/>
    <m/>
    <x v="0"/>
    <m/>
  </r>
  <r>
    <x v="36"/>
    <m/>
    <x v="45"/>
    <x v="41"/>
    <x v="3"/>
    <m/>
    <m/>
    <m/>
    <m/>
    <x v="0"/>
    <m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Сводная таблица2" cacheId="0" applyNumberFormats="0" applyBorderFormats="0" applyFontFormats="0" applyPatternFormats="0" applyAlignmentFormats="0" applyWidthHeightFormats="1" dataCaption="Значения" updatedVersion="6" minRefreshableVersion="3" colGrandTotals="0" itemPrintTitles="1" createdVersion="6" indent="0" outline="1" outlineData="1" multipleFieldFilters="0">
  <location ref="A3:AM53" firstHeaderRow="1" firstDataRow="2" firstDataCol="3"/>
  <pivotFields count="11">
    <pivotField axis="axisCol" showAll="0">
      <items count="38">
        <item x="31"/>
        <item x="32"/>
        <item x="0"/>
        <item x="1"/>
        <item x="2"/>
        <item x="3"/>
        <item x="4"/>
        <item x="5"/>
        <item x="6"/>
        <item x="7"/>
        <item x="8"/>
        <item n="45960"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h="1" x="36"/>
        <item x="34"/>
        <item x="35"/>
        <item t="default"/>
      </items>
    </pivotField>
    <pivotField dataField="1" showAll="0"/>
    <pivotField axis="axisRow" outline="0" showAll="0" defaultSubtotal="0">
      <items count="46">
        <item x="0"/>
        <item x="5"/>
        <item x="9"/>
        <item x="10"/>
        <item x="11"/>
        <item x="12"/>
        <item x="13"/>
        <item x="14"/>
        <item x="15"/>
        <item x="16"/>
        <item x="17"/>
        <item x="1"/>
        <item x="18"/>
        <item x="19"/>
        <item x="20"/>
        <item x="21"/>
        <item x="22"/>
        <item x="23"/>
        <item x="24"/>
        <item x="25"/>
        <item x="26"/>
        <item x="27"/>
        <item x="2"/>
        <item x="28"/>
        <item x="29"/>
        <item x="30"/>
        <item x="31"/>
        <item x="32"/>
        <item x="33"/>
        <item x="34"/>
        <item x="35"/>
        <item x="36"/>
        <item x="37"/>
        <item x="3"/>
        <item x="38"/>
        <item x="39"/>
        <item x="40"/>
        <item x="41"/>
        <item x="4"/>
        <item x="8"/>
        <item x="7"/>
        <item x="6"/>
        <item x="45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42">
        <item sd="0" x="15"/>
        <item sd="0" x="18"/>
        <item sd="0" x="21"/>
        <item sd="0" x="24"/>
        <item sd="0" x="27"/>
        <item sd="0" x="30"/>
        <item sd="0" x="16"/>
        <item sd="0" x="19"/>
        <item sd="0" x="22"/>
        <item sd="0" x="25"/>
        <item sd="0" x="28"/>
        <item sd="0" x="31"/>
        <item sd="0" x="12"/>
        <item sd="0" x="11"/>
        <item sd="0" x="32"/>
        <item sd="0" x="17"/>
        <item x="0"/>
        <item sd="0" x="9"/>
        <item sd="0" x="37"/>
        <item sd="0" x="13"/>
        <item sd="0" x="14"/>
        <item sd="0" x="23"/>
        <item sd="0" x="20"/>
        <item sd="0" x="26"/>
        <item sd="0" x="29"/>
        <item sd="0" x="7"/>
        <item sd="0" x="1"/>
        <item sd="0" x="35"/>
        <item sd="0" x="6"/>
        <item sd="0" x="2"/>
        <item sd="0" x="36"/>
        <item sd="0" x="10"/>
        <item x="3"/>
        <item sd="0" x="8"/>
        <item sd="0" x="5"/>
        <item sd="0" x="4"/>
        <item sd="0" x="34"/>
        <item sd="0" x="33"/>
        <item sd="0" x="41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4">
        <item x="0"/>
        <item x="2"/>
        <item x="1"/>
        <item h="1" sd="0" x="3"/>
      </items>
    </pivotField>
    <pivotField showAll="0"/>
    <pivotField showAll="0"/>
    <pivotField showAll="0"/>
    <pivotField showAll="0"/>
    <pivotField axis="axisRow" showAll="0">
      <items count="30">
        <item x="7"/>
        <item x="5"/>
        <item x="8"/>
        <item x="6"/>
        <item x="13"/>
        <item x="4"/>
        <item x="3"/>
        <item x="9"/>
        <item x="2"/>
        <item x="10"/>
        <item x="12"/>
        <item x="11"/>
        <item x="18"/>
        <item x="19"/>
        <item x="20"/>
        <item x="21"/>
        <item x="1"/>
        <item x="17"/>
        <item x="15"/>
        <item x="16"/>
        <item x="14"/>
        <item x="22"/>
        <item x="23"/>
        <item x="24"/>
        <item x="25"/>
        <item x="26"/>
        <item x="0"/>
        <item x="27"/>
        <item x="28"/>
        <item t="default"/>
      </items>
    </pivotField>
    <pivotField showAll="0"/>
  </pivotFields>
  <rowFields count="4">
    <field x="4"/>
    <field x="2"/>
    <field x="3"/>
    <field x="9"/>
  </rowFields>
  <rowItems count="49">
    <i>
      <x/>
    </i>
    <i r="1">
      <x/>
      <x v="16"/>
      <x v="26"/>
    </i>
    <i r="1">
      <x v="2"/>
      <x v="17"/>
    </i>
    <i r="1">
      <x v="3"/>
      <x v="31"/>
    </i>
    <i r="1">
      <x v="4"/>
      <x v="13"/>
    </i>
    <i r="1">
      <x v="5"/>
      <x v="12"/>
    </i>
    <i r="1">
      <x v="11"/>
      <x v="26"/>
    </i>
    <i r="1">
      <x v="22"/>
      <x v="29"/>
    </i>
    <i r="1">
      <x v="29"/>
      <x v="14"/>
    </i>
    <i r="1">
      <x v="30"/>
      <x v="36"/>
    </i>
    <i r="1">
      <x v="31"/>
      <x v="27"/>
    </i>
    <i r="1">
      <x v="32"/>
      <x v="30"/>
    </i>
    <i r="1">
      <x v="33"/>
      <x v="32"/>
      <x v="26"/>
    </i>
    <i r="1">
      <x v="38"/>
      <x v="35"/>
    </i>
    <i>
      <x v="1"/>
    </i>
    <i r="1">
      <x v="36"/>
      <x v="18"/>
    </i>
    <i>
      <x v="2"/>
    </i>
    <i r="1">
      <x v="1"/>
      <x v="34"/>
    </i>
    <i r="1">
      <x v="6"/>
      <x v="19"/>
    </i>
    <i r="1">
      <x v="7"/>
      <x v="20"/>
    </i>
    <i r="1">
      <x v="8"/>
      <x/>
    </i>
    <i r="1">
      <x v="9"/>
      <x v="6"/>
    </i>
    <i r="1">
      <x v="10"/>
      <x v="15"/>
    </i>
    <i r="1">
      <x v="12"/>
      <x v="1"/>
    </i>
    <i r="1">
      <x v="13"/>
      <x v="7"/>
    </i>
    <i r="1">
      <x v="14"/>
      <x v="22"/>
    </i>
    <i r="1">
      <x v="15"/>
      <x v="2"/>
    </i>
    <i r="1">
      <x v="16"/>
      <x v="8"/>
    </i>
    <i r="1">
      <x v="17"/>
      <x v="21"/>
    </i>
    <i r="1">
      <x v="18"/>
      <x v="3"/>
    </i>
    <i r="1">
      <x v="19"/>
      <x v="9"/>
    </i>
    <i r="1">
      <x v="20"/>
      <x v="23"/>
    </i>
    <i r="1">
      <x v="21"/>
      <x v="4"/>
    </i>
    <i r="1">
      <x v="23"/>
      <x v="10"/>
    </i>
    <i r="1">
      <x v="24"/>
      <x v="24"/>
    </i>
    <i r="1">
      <x v="25"/>
      <x v="5"/>
    </i>
    <i r="1">
      <x v="26"/>
      <x v="11"/>
    </i>
    <i r="1">
      <x v="27"/>
      <x v="14"/>
    </i>
    <i r="1">
      <x v="28"/>
      <x v="37"/>
    </i>
    <i r="1">
      <x v="34"/>
      <x v="27"/>
    </i>
    <i r="1">
      <x v="35"/>
      <x v="30"/>
    </i>
    <i r="1">
      <x v="37"/>
      <x v="18"/>
    </i>
    <i r="1">
      <x v="39"/>
      <x v="33"/>
    </i>
    <i r="1">
      <x v="40"/>
      <x v="25"/>
    </i>
    <i r="1">
      <x v="41"/>
      <x v="28"/>
    </i>
    <i r="1">
      <x v="43"/>
      <x v="39"/>
      <x v="26"/>
    </i>
    <i r="1">
      <x v="44"/>
      <x v="40"/>
      <x v="16"/>
    </i>
    <i r="1">
      <x v="45"/>
      <x v="41"/>
      <x v="16"/>
    </i>
    <i t="grand">
      <x/>
    </i>
  </rowItems>
  <colFields count="1">
    <field x="0"/>
  </colFields>
  <col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</colItems>
  <dataFields count="1">
    <dataField name="Сумма по полю value_s" fld="1" baseField="8" baseItem="16"/>
  </dataFields>
  <formats count="6">
    <format>
      <pivotArea field="2" type="button" dataOnly="0" labelOnly="1" outline="0" axis="axisRow" fieldPosition="1"/>
    </format>
    <format>
      <pivotArea field="3" type="button" dataOnly="0" labelOnly="1" outline="0" axis="axisRow" fieldPosition="2"/>
    </format>
    <format>
      <pivotArea field="9" type="button" dataOnly="0" labelOnly="1" outline="0" axis="axisRow" fieldPosition="3"/>
    </format>
    <format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>
      <pivotArea dataOnly="0" labelOnly="1" fieldPosition="0">
        <references count="1">
          <reference field="0" count="1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K37" activeCellId="0" sqref="K37"/>
    </sheetView>
  </sheetViews>
  <sheetFormatPr defaultRowHeight="14.25"/>
  <cols>
    <col customWidth="1" min="2" max="2" width="10.28515625"/>
  </cols>
  <sheetData>
    <row r="1" s="1" customFormat="1"/>
    <row r="3" ht="16.5">
      <c r="B3" s="2" t="s">
        <v>0</v>
      </c>
      <c r="C3" s="1"/>
    </row>
    <row r="4">
      <c r="B4" s="1"/>
      <c r="C4" s="1"/>
    </row>
    <row r="5">
      <c r="B5" s="3" t="s">
        <v>1</v>
      </c>
      <c r="C5" s="4" t="s">
        <v>2</v>
      </c>
    </row>
    <row r="6">
      <c r="B6" s="5" t="s">
        <v>3</v>
      </c>
      <c r="C6" s="4" t="s">
        <v>4</v>
      </c>
    </row>
    <row r="7">
      <c r="B7" s="6" t="s">
        <v>5</v>
      </c>
      <c r="C7" s="4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3" activeCellId="0" sqref="B3:D8"/>
    </sheetView>
  </sheetViews>
  <sheetFormatPr defaultRowHeight="14.25"/>
  <cols>
    <col customWidth="1" min="2" max="2" width="31.5703125"/>
    <col customWidth="1" min="3" max="4" width="46.140625"/>
  </cols>
  <sheetData>
    <row r="2">
      <c r="B2" s="7" t="s">
        <v>7</v>
      </c>
      <c r="C2" s="8" t="s">
        <v>8</v>
      </c>
      <c r="D2" s="9" t="s">
        <v>9</v>
      </c>
    </row>
    <row r="3">
      <c r="B3" s="10"/>
      <c r="C3" s="11"/>
      <c r="D3" s="12"/>
    </row>
    <row r="4" s="1" customFormat="1">
      <c r="B4" s="13"/>
      <c r="C4" s="11"/>
      <c r="D4" s="12"/>
    </row>
    <row r="5" s="1" customFormat="1">
      <c r="B5" s="14"/>
      <c r="C5" s="11"/>
      <c r="D5" s="12"/>
    </row>
    <row r="6" s="1" customFormat="1" ht="39.75" customHeight="1">
      <c r="B6" s="14"/>
      <c r="C6" s="11"/>
      <c r="D6" s="12"/>
    </row>
    <row r="7" s="1" customFormat="1" ht="55.5" customHeight="1">
      <c r="B7" s="15"/>
      <c r="C7" s="11"/>
      <c r="D7" s="12"/>
    </row>
    <row r="8">
      <c r="B8" s="15"/>
      <c r="C8" s="11"/>
      <c r="D8" s="12"/>
    </row>
    <row r="9">
      <c r="B9" s="15"/>
      <c r="C9" s="11"/>
      <c r="D9" s="12"/>
    </row>
    <row r="10">
      <c r="B10" s="15"/>
      <c r="C10" s="11"/>
      <c r="D10" s="12"/>
    </row>
    <row r="11">
      <c r="B11" s="15"/>
      <c r="C11" s="11"/>
      <c r="D11" s="12"/>
    </row>
    <row r="12">
      <c r="B12" s="1"/>
      <c r="C12" s="1"/>
      <c r="D12" s="1"/>
    </row>
  </sheetData>
  <mergeCells count="1">
    <mergeCell ref="B3:B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tabColor indexed="5"/>
    <outlinePr applyStyles="0" summaryBelow="1" summaryRight="1" showOutlineSymbols="1"/>
    <pageSetUpPr autoPageBreaks="1" fitToPage="0"/>
  </sheetPr>
  <sheetViews>
    <sheetView showRuler="1" zoomScale="100" workbookViewId="0">
      <pane xSplit="3" ySplit="9" topLeftCell="D10" activePane="bottomRight" state="frozen"/>
      <selection activeCell="B476" activeCellId="0" sqref="B476"/>
    </sheetView>
  </sheetViews>
  <sheetFormatPr defaultRowHeight="14.25"/>
  <cols>
    <col customWidth="1" min="1" max="1" width="10.421875"/>
    <col customWidth="1" min="2" max="2" style="16" width="12.85546875"/>
    <col customWidth="1" min="3" max="3" style="16" width="12.7109375"/>
    <col customWidth="1" min="4" max="4" style="16" width="18.5703125"/>
    <col customWidth="1" min="5" max="5" style="16" width="46.7109375"/>
    <col customWidth="1" min="6" max="6" style="16" width="14.7109375"/>
    <col customWidth="1" min="7" max="7" style="16" width="13.42578125"/>
    <col customWidth="1" min="8" max="8" style="16" width="18.28515625"/>
    <col customWidth="1" min="9" max="9" style="16" width="16.28515625"/>
    <col customWidth="1" min="10" max="10" style="16" width="11.85546875"/>
    <col customWidth="1" min="11" max="11" style="16" width="41.57421875"/>
    <col customWidth="1" min="12" max="12" style="16" width="30.42578125"/>
    <col customWidth="1" min="13" max="13" style="1" width="30.7109375"/>
    <col customWidth="1" min="14" max="14" width="9.7109375"/>
    <col customWidth="1" min="15" max="15" width="16.7109375"/>
    <col customWidth="1" min="16" max="16" width="15.28515625"/>
  </cols>
  <sheetData>
    <row r="1" s="1" customFormat="1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="1" customFormat="1" ht="18.75">
      <c r="B2" s="17" t="s">
        <v>10</v>
      </c>
      <c r="C2" s="18"/>
      <c r="D2" s="18"/>
      <c r="E2" s="18"/>
      <c r="F2" s="18"/>
      <c r="G2" s="16"/>
      <c r="H2" s="16"/>
      <c r="I2" s="16"/>
      <c r="J2" s="16"/>
      <c r="K2" s="16"/>
      <c r="L2" s="16"/>
    </row>
    <row r="3" ht="18.75">
      <c r="B3" s="19" t="s">
        <v>11</v>
      </c>
    </row>
    <row r="4" s="20" customFormat="1">
      <c r="B4" s="21" t="s">
        <v>12</v>
      </c>
      <c r="C4" s="21"/>
      <c r="D4" s="21"/>
      <c r="E4" s="21"/>
      <c r="F4" s="21"/>
      <c r="G4" s="21"/>
      <c r="H4" s="21"/>
      <c r="I4" s="21"/>
      <c r="J4" s="21"/>
      <c r="K4" s="21"/>
      <c r="L4" s="21"/>
    </row>
    <row r="5" s="20" customFormat="1" ht="31.5" customHeight="1">
      <c r="B5" s="22" t="s">
        <v>13</v>
      </c>
      <c r="C5" s="22"/>
      <c r="D5" s="22"/>
      <c r="E5" s="22"/>
      <c r="F5" s="22"/>
      <c r="G5" s="22"/>
      <c r="H5" s="22"/>
      <c r="I5" s="22"/>
      <c r="J5" s="22"/>
      <c r="K5" s="22"/>
      <c r="L5" s="22"/>
    </row>
    <row r="6" s="20" customFormat="1">
      <c r="B6" s="21" t="s">
        <v>14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7" s="20" customFormat="1">
      <c r="B7" s="21" t="s">
        <v>15</v>
      </c>
      <c r="C7" s="21"/>
      <c r="D7" s="21"/>
      <c r="E7" s="21"/>
      <c r="F7" s="21"/>
      <c r="G7" s="21"/>
      <c r="H7" s="21"/>
      <c r="I7" s="21"/>
      <c r="J7" s="21"/>
      <c r="K7" s="21"/>
      <c r="L7" s="21"/>
    </row>
    <row r="8" s="20" customFormat="1" ht="27.75" customHeight="1">
      <c r="B8" s="22" t="s">
        <v>16</v>
      </c>
      <c r="C8" s="22"/>
      <c r="D8" s="22"/>
      <c r="E8" s="22"/>
      <c r="F8" s="22"/>
      <c r="G8" s="22"/>
      <c r="H8" s="22"/>
      <c r="I8" s="22"/>
      <c r="J8" s="22"/>
      <c r="K8" s="22"/>
      <c r="L8" s="21"/>
    </row>
    <row r="9">
      <c r="B9" s="23" t="s">
        <v>17</v>
      </c>
      <c r="C9" s="23" t="s">
        <v>18</v>
      </c>
      <c r="D9" s="23" t="s">
        <v>19</v>
      </c>
      <c r="E9" s="23" t="s">
        <v>20</v>
      </c>
      <c r="F9" s="23" t="s">
        <v>21</v>
      </c>
      <c r="G9" s="23" t="s">
        <v>22</v>
      </c>
      <c r="H9" s="23" t="s">
        <v>23</v>
      </c>
      <c r="I9" s="23" t="s">
        <v>24</v>
      </c>
      <c r="J9" s="23" t="s">
        <v>25</v>
      </c>
      <c r="K9" s="23" t="s">
        <v>26</v>
      </c>
      <c r="L9" s="23" t="s">
        <v>27</v>
      </c>
    </row>
    <row r="10" ht="15" customHeight="1">
      <c r="B10" s="24">
        <v>45897</v>
      </c>
      <c r="C10" s="16">
        <v>34</v>
      </c>
      <c r="D10" t="s">
        <v>28</v>
      </c>
      <c r="E10" t="s">
        <v>29</v>
      </c>
      <c r="F10" s="16">
        <v>1</v>
      </c>
      <c r="G10" s="16" t="s">
        <v>30</v>
      </c>
      <c r="H10" s="16" t="s">
        <v>31</v>
      </c>
      <c r="I10" s="16" t="s">
        <v>32</v>
      </c>
    </row>
    <row r="11" ht="15" customHeight="1">
      <c r="B11" s="24">
        <v>45904</v>
      </c>
      <c r="C11" s="16">
        <v>34</v>
      </c>
      <c r="D11" s="1" t="s">
        <v>28</v>
      </c>
      <c r="E11" s="1" t="s">
        <v>29</v>
      </c>
      <c r="F11" s="16">
        <v>1</v>
      </c>
      <c r="G11" s="16" t="s">
        <v>30</v>
      </c>
      <c r="H11" s="16" t="s">
        <v>31</v>
      </c>
      <c r="I11" s="16" t="s">
        <v>32</v>
      </c>
    </row>
    <row r="12" ht="15" customHeight="1">
      <c r="B12" s="24">
        <v>45911</v>
      </c>
      <c r="C12" s="16">
        <v>32</v>
      </c>
      <c r="D12" s="1" t="s">
        <v>28</v>
      </c>
      <c r="E12" s="1" t="s">
        <v>29</v>
      </c>
      <c r="F12" s="16">
        <v>1</v>
      </c>
      <c r="G12" s="16" t="s">
        <v>30</v>
      </c>
      <c r="H12" s="16" t="s">
        <v>31</v>
      </c>
      <c r="I12" s="16" t="s">
        <v>32</v>
      </c>
    </row>
    <row r="13" ht="15" customHeight="1">
      <c r="B13" s="24">
        <v>45918</v>
      </c>
      <c r="C13" s="16">
        <v>32</v>
      </c>
      <c r="D13" s="1" t="s">
        <v>28</v>
      </c>
      <c r="E13" s="1" t="s">
        <v>29</v>
      </c>
      <c r="F13" s="16">
        <v>1</v>
      </c>
      <c r="G13" s="16" t="s">
        <v>30</v>
      </c>
      <c r="H13" s="16" t="s">
        <v>31</v>
      </c>
      <c r="I13" s="16" t="s">
        <v>32</v>
      </c>
    </row>
    <row r="14" ht="15" customHeight="1">
      <c r="B14" s="24">
        <v>45925</v>
      </c>
      <c r="C14" s="25">
        <v>25</v>
      </c>
      <c r="D14" s="1" t="s">
        <v>28</v>
      </c>
      <c r="E14" s="1" t="s">
        <v>29</v>
      </c>
      <c r="F14" s="16">
        <v>1</v>
      </c>
      <c r="G14" s="16" t="s">
        <v>30</v>
      </c>
      <c r="H14" s="16" t="s">
        <v>31</v>
      </c>
      <c r="I14" s="16" t="s">
        <v>32</v>
      </c>
    </row>
    <row r="15" ht="15" customHeight="1">
      <c r="B15" s="24">
        <v>45932</v>
      </c>
      <c r="C15" s="25">
        <v>25</v>
      </c>
      <c r="D15" s="1" t="s">
        <v>28</v>
      </c>
      <c r="E15" s="1" t="s">
        <v>29</v>
      </c>
      <c r="F15" s="16">
        <v>1</v>
      </c>
      <c r="G15" s="16" t="s">
        <v>30</v>
      </c>
      <c r="H15" s="16" t="s">
        <v>31</v>
      </c>
      <c r="I15" s="16" t="s">
        <v>32</v>
      </c>
    </row>
    <row r="16" ht="15" customHeight="1">
      <c r="B16" s="24">
        <v>45939</v>
      </c>
      <c r="C16" s="25">
        <v>25</v>
      </c>
      <c r="D16" s="1" t="s">
        <v>28</v>
      </c>
      <c r="E16" s="1" t="s">
        <v>29</v>
      </c>
      <c r="F16" s="16">
        <v>1</v>
      </c>
      <c r="G16" s="16" t="s">
        <v>30</v>
      </c>
      <c r="H16" s="16" t="s">
        <v>31</v>
      </c>
      <c r="I16" s="16" t="s">
        <v>32</v>
      </c>
    </row>
    <row r="17" ht="15" customHeight="1">
      <c r="B17" s="24">
        <v>45946</v>
      </c>
      <c r="C17" s="25">
        <v>25</v>
      </c>
      <c r="D17" s="1" t="s">
        <v>28</v>
      </c>
      <c r="E17" s="1" t="s">
        <v>29</v>
      </c>
      <c r="F17" s="16">
        <v>1</v>
      </c>
      <c r="G17" s="16" t="s">
        <v>30</v>
      </c>
      <c r="H17" s="16" t="s">
        <v>31</v>
      </c>
      <c r="I17" s="16" t="s">
        <v>32</v>
      </c>
    </row>
    <row r="18" ht="15" customHeight="1">
      <c r="B18" s="24">
        <v>45953</v>
      </c>
      <c r="C18" s="25">
        <v>25</v>
      </c>
      <c r="D18" s="1" t="s">
        <v>28</v>
      </c>
      <c r="E18" s="1" t="s">
        <v>29</v>
      </c>
      <c r="F18" s="16">
        <v>1</v>
      </c>
      <c r="G18" s="16" t="s">
        <v>30</v>
      </c>
      <c r="H18" s="16" t="s">
        <v>31</v>
      </c>
      <c r="I18" s="16" t="s">
        <v>32</v>
      </c>
    </row>
    <row r="19" ht="15" customHeight="1">
      <c r="B19" s="24">
        <v>45960</v>
      </c>
      <c r="C19" s="25">
        <v>23</v>
      </c>
      <c r="D19" s="1" t="s">
        <v>28</v>
      </c>
      <c r="E19" s="1" t="s">
        <v>29</v>
      </c>
      <c r="F19" s="16">
        <v>1</v>
      </c>
      <c r="G19" s="16" t="s">
        <v>30</v>
      </c>
      <c r="H19" s="16" t="s">
        <v>31</v>
      </c>
      <c r="I19" s="16" t="s">
        <v>32</v>
      </c>
    </row>
    <row r="20" ht="15" customHeight="1">
      <c r="B20" s="24">
        <v>45967</v>
      </c>
      <c r="C20" s="25">
        <v>23</v>
      </c>
      <c r="D20" s="1" t="s">
        <v>28</v>
      </c>
      <c r="E20" s="1" t="s">
        <v>29</v>
      </c>
      <c r="F20" s="16">
        <v>1</v>
      </c>
      <c r="G20" s="16" t="s">
        <v>30</v>
      </c>
      <c r="H20" s="16" t="s">
        <v>31</v>
      </c>
      <c r="I20" s="16" t="s">
        <v>32</v>
      </c>
    </row>
    <row r="21" ht="15" customHeight="1">
      <c r="B21" s="24">
        <v>45974</v>
      </c>
      <c r="C21" s="25">
        <v>23</v>
      </c>
      <c r="D21" s="1" t="s">
        <v>28</v>
      </c>
      <c r="E21" s="1" t="s">
        <v>29</v>
      </c>
      <c r="F21" s="16">
        <v>1</v>
      </c>
      <c r="G21" s="16" t="s">
        <v>30</v>
      </c>
      <c r="H21" s="16" t="s">
        <v>31</v>
      </c>
      <c r="I21" s="16" t="s">
        <v>32</v>
      </c>
    </row>
    <row r="22" ht="15" customHeight="1">
      <c r="B22" s="24">
        <v>45981</v>
      </c>
      <c r="C22" s="25">
        <v>23</v>
      </c>
      <c r="D22" s="1" t="s">
        <v>28</v>
      </c>
      <c r="E22" s="1" t="s">
        <v>29</v>
      </c>
      <c r="F22" s="16">
        <v>1</v>
      </c>
      <c r="G22" s="16" t="s">
        <v>30</v>
      </c>
      <c r="H22" s="16" t="s">
        <v>31</v>
      </c>
      <c r="I22" s="16" t="s">
        <v>32</v>
      </c>
    </row>
    <row r="23" ht="15" customHeight="1">
      <c r="B23" s="24">
        <v>45988</v>
      </c>
      <c r="C23" s="25">
        <v>25</v>
      </c>
      <c r="D23" s="1" t="s">
        <v>28</v>
      </c>
      <c r="E23" s="1" t="s">
        <v>29</v>
      </c>
      <c r="F23" s="16">
        <v>1</v>
      </c>
      <c r="G23" s="16" t="s">
        <v>30</v>
      </c>
      <c r="H23" s="16" t="s">
        <v>31</v>
      </c>
      <c r="I23" s="16" t="s">
        <v>32</v>
      </c>
    </row>
    <row r="24" ht="15" customHeight="1">
      <c r="B24" s="24">
        <v>45995</v>
      </c>
      <c r="C24" s="25">
        <v>24</v>
      </c>
      <c r="D24" s="1" t="s">
        <v>28</v>
      </c>
      <c r="E24" s="1" t="s">
        <v>29</v>
      </c>
      <c r="F24" s="16">
        <v>1</v>
      </c>
      <c r="G24" s="16" t="s">
        <v>30</v>
      </c>
      <c r="H24" s="16" t="s">
        <v>31</v>
      </c>
      <c r="I24" s="16" t="s">
        <v>32</v>
      </c>
    </row>
    <row r="25" ht="15" customHeight="1">
      <c r="B25" s="24">
        <v>46002</v>
      </c>
      <c r="C25" s="25">
        <v>24</v>
      </c>
      <c r="D25" s="1" t="s">
        <v>28</v>
      </c>
      <c r="E25" s="1" t="s">
        <v>29</v>
      </c>
      <c r="F25" s="16">
        <v>1</v>
      </c>
      <c r="G25" s="16" t="s">
        <v>30</v>
      </c>
      <c r="H25" s="16" t="s">
        <v>31</v>
      </c>
      <c r="I25" s="16" t="s">
        <v>32</v>
      </c>
    </row>
    <row r="26" ht="15" customHeight="1">
      <c r="B26" s="24">
        <v>46009</v>
      </c>
      <c r="C26" s="25">
        <v>16</v>
      </c>
      <c r="D26" s="1" t="s">
        <v>28</v>
      </c>
      <c r="E26" s="1" t="s">
        <v>29</v>
      </c>
      <c r="F26" s="16">
        <v>1</v>
      </c>
      <c r="G26" s="16" t="s">
        <v>30</v>
      </c>
      <c r="H26" s="16" t="s">
        <v>31</v>
      </c>
      <c r="I26" s="16" t="s">
        <v>32</v>
      </c>
    </row>
    <row r="27" ht="15" customHeight="1">
      <c r="B27" s="24">
        <v>46016</v>
      </c>
      <c r="C27" s="25">
        <v>16</v>
      </c>
      <c r="D27" s="1" t="s">
        <v>28</v>
      </c>
      <c r="E27" s="1" t="s">
        <v>29</v>
      </c>
      <c r="F27" s="16">
        <v>1</v>
      </c>
      <c r="G27" s="16" t="s">
        <v>30</v>
      </c>
      <c r="H27" s="16" t="s">
        <v>31</v>
      </c>
      <c r="I27" s="16" t="s">
        <v>32</v>
      </c>
    </row>
    <row r="28" ht="15" customHeight="1">
      <c r="B28" s="24">
        <v>46037</v>
      </c>
      <c r="C28" s="25">
        <v>16</v>
      </c>
      <c r="D28" s="1" t="s">
        <v>28</v>
      </c>
      <c r="E28" s="1" t="s">
        <v>29</v>
      </c>
      <c r="F28" s="16">
        <v>1</v>
      </c>
      <c r="G28" s="16" t="s">
        <v>30</v>
      </c>
      <c r="H28" s="16" t="s">
        <v>31</v>
      </c>
      <c r="I28" s="16" t="s">
        <v>32</v>
      </c>
    </row>
    <row r="29" ht="15" customHeight="1">
      <c r="B29" s="24">
        <v>46044</v>
      </c>
      <c r="C29" s="25">
        <v>16</v>
      </c>
      <c r="D29" s="1" t="s">
        <v>28</v>
      </c>
      <c r="E29" s="1" t="s">
        <v>29</v>
      </c>
      <c r="F29" s="16">
        <v>1</v>
      </c>
      <c r="G29" s="16" t="s">
        <v>30</v>
      </c>
      <c r="H29" s="16" t="s">
        <v>31</v>
      </c>
      <c r="I29" s="16" t="s">
        <v>32</v>
      </c>
    </row>
    <row r="30" ht="15" customHeight="1">
      <c r="B30" s="24">
        <v>46051</v>
      </c>
      <c r="C30" s="25">
        <v>16</v>
      </c>
      <c r="D30" s="1" t="s">
        <v>28</v>
      </c>
      <c r="E30" s="1" t="s">
        <v>29</v>
      </c>
      <c r="F30" s="16">
        <v>1</v>
      </c>
      <c r="G30" s="16" t="s">
        <v>30</v>
      </c>
      <c r="H30" s="16" t="s">
        <v>31</v>
      </c>
      <c r="I30" s="16" t="s">
        <v>32</v>
      </c>
    </row>
    <row r="31" ht="15" customHeight="1">
      <c r="B31" s="24">
        <v>46058</v>
      </c>
      <c r="C31" s="25">
        <v>16</v>
      </c>
      <c r="D31" s="1" t="s">
        <v>28</v>
      </c>
      <c r="E31" s="1" t="s">
        <v>29</v>
      </c>
      <c r="F31" s="16">
        <v>1</v>
      </c>
      <c r="G31" s="16" t="s">
        <v>30</v>
      </c>
      <c r="H31" s="16" t="s">
        <v>31</v>
      </c>
      <c r="I31" s="16" t="s">
        <v>32</v>
      </c>
    </row>
    <row r="32" ht="15" customHeight="1">
      <c r="B32" s="24">
        <v>46065</v>
      </c>
      <c r="C32" s="25">
        <v>16</v>
      </c>
      <c r="D32" s="1" t="s">
        <v>28</v>
      </c>
      <c r="E32" s="1" t="s">
        <v>29</v>
      </c>
      <c r="F32" s="16">
        <v>1</v>
      </c>
      <c r="G32" s="16" t="s">
        <v>30</v>
      </c>
      <c r="H32" s="16" t="s">
        <v>31</v>
      </c>
      <c r="I32" s="16" t="s">
        <v>32</v>
      </c>
    </row>
    <row r="33" ht="15" customHeight="1">
      <c r="B33" s="24">
        <v>46072</v>
      </c>
      <c r="C33" s="25">
        <v>16</v>
      </c>
      <c r="D33" s="1" t="s">
        <v>28</v>
      </c>
      <c r="E33" s="1" t="s">
        <v>29</v>
      </c>
      <c r="F33" s="16">
        <v>1</v>
      </c>
      <c r="G33" s="16" t="s">
        <v>30</v>
      </c>
      <c r="H33" s="16" t="s">
        <v>31</v>
      </c>
      <c r="I33" s="16" t="s">
        <v>32</v>
      </c>
    </row>
    <row r="34" ht="15" customHeight="1">
      <c r="B34" s="24">
        <v>46079</v>
      </c>
      <c r="C34" s="25">
        <v>16</v>
      </c>
      <c r="D34" s="1" t="s">
        <v>28</v>
      </c>
      <c r="E34" s="1" t="s">
        <v>29</v>
      </c>
      <c r="F34" s="16">
        <v>1</v>
      </c>
      <c r="G34" s="16" t="s">
        <v>30</v>
      </c>
      <c r="H34" s="16" t="s">
        <v>31</v>
      </c>
      <c r="I34" s="16" t="s">
        <v>32</v>
      </c>
    </row>
    <row r="35" ht="15" customHeight="1">
      <c r="B35" s="24">
        <v>46086</v>
      </c>
      <c r="C35" s="25">
        <v>16</v>
      </c>
      <c r="D35" s="1" t="s">
        <v>28</v>
      </c>
      <c r="E35" s="1" t="s">
        <v>29</v>
      </c>
      <c r="F35" s="16">
        <v>1</v>
      </c>
      <c r="G35" s="16" t="s">
        <v>30</v>
      </c>
      <c r="H35" s="16" t="s">
        <v>31</v>
      </c>
      <c r="I35" s="16" t="s">
        <v>32</v>
      </c>
    </row>
    <row r="36" ht="15" customHeight="1">
      <c r="B36" s="24">
        <v>46093</v>
      </c>
      <c r="C36" s="25">
        <v>16</v>
      </c>
      <c r="D36" s="1" t="s">
        <v>28</v>
      </c>
      <c r="E36" s="1" t="s">
        <v>29</v>
      </c>
      <c r="F36" s="16">
        <v>1</v>
      </c>
      <c r="G36" s="16" t="s">
        <v>30</v>
      </c>
      <c r="H36" s="16" t="s">
        <v>31</v>
      </c>
      <c r="I36" s="16" t="s">
        <v>32</v>
      </c>
    </row>
    <row r="37" ht="15" customHeight="1">
      <c r="B37" s="24">
        <v>46100</v>
      </c>
      <c r="C37" s="25">
        <v>16</v>
      </c>
      <c r="D37" s="1" t="s">
        <v>28</v>
      </c>
      <c r="E37" s="1" t="s">
        <v>29</v>
      </c>
      <c r="F37" s="16">
        <v>1</v>
      </c>
      <c r="G37" s="16" t="s">
        <v>30</v>
      </c>
      <c r="H37" s="16" t="s">
        <v>31</v>
      </c>
      <c r="I37" s="16" t="s">
        <v>32</v>
      </c>
    </row>
    <row r="38" ht="15" customHeight="1">
      <c r="B38" s="24">
        <v>46107</v>
      </c>
      <c r="C38" s="25">
        <v>16</v>
      </c>
      <c r="D38" s="1" t="s">
        <v>28</v>
      </c>
      <c r="E38" s="1" t="s">
        <v>29</v>
      </c>
      <c r="F38" s="16">
        <v>1</v>
      </c>
      <c r="G38" s="16" t="s">
        <v>30</v>
      </c>
      <c r="H38" s="16" t="s">
        <v>31</v>
      </c>
      <c r="I38" s="16" t="s">
        <v>32</v>
      </c>
    </row>
    <row r="39" ht="15" customHeight="1">
      <c r="B39" s="24">
        <v>46114</v>
      </c>
      <c r="C39" s="25">
        <v>16</v>
      </c>
      <c r="D39" s="1" t="s">
        <v>28</v>
      </c>
      <c r="E39" s="1" t="s">
        <v>29</v>
      </c>
      <c r="F39" s="16">
        <v>1</v>
      </c>
      <c r="G39" s="16" t="s">
        <v>30</v>
      </c>
      <c r="H39" s="16" t="s">
        <v>31</v>
      </c>
      <c r="I39" s="16" t="s">
        <v>32</v>
      </c>
    </row>
    <row r="40" ht="15" customHeight="1">
      <c r="B40" s="24">
        <v>46121</v>
      </c>
      <c r="C40" s="25">
        <v>16</v>
      </c>
      <c r="D40" s="1" t="s">
        <v>28</v>
      </c>
      <c r="E40" s="1" t="s">
        <v>29</v>
      </c>
      <c r="F40" s="16">
        <v>1</v>
      </c>
      <c r="G40" s="16" t="s">
        <v>30</v>
      </c>
      <c r="H40" s="16" t="s">
        <v>31</v>
      </c>
      <c r="I40" s="16" t="s">
        <v>32</v>
      </c>
    </row>
    <row r="41" ht="15" customHeight="1">
      <c r="B41" s="24">
        <v>45897</v>
      </c>
      <c r="C41" s="26">
        <v>515</v>
      </c>
      <c r="D41" s="1" t="s">
        <v>33</v>
      </c>
      <c r="E41" s="1" t="s">
        <v>34</v>
      </c>
      <c r="F41" s="16">
        <v>1</v>
      </c>
      <c r="G41" s="16" t="s">
        <v>30</v>
      </c>
      <c r="H41" s="16" t="s">
        <v>31</v>
      </c>
      <c r="I41" s="16" t="s">
        <v>32</v>
      </c>
    </row>
    <row r="42" ht="15" customHeight="1">
      <c r="B42" s="24">
        <v>45904</v>
      </c>
      <c r="C42" s="26">
        <v>546</v>
      </c>
      <c r="D42" s="1" t="s">
        <v>33</v>
      </c>
      <c r="E42" s="1" t="s">
        <v>34</v>
      </c>
      <c r="F42" s="16">
        <v>1</v>
      </c>
      <c r="G42" s="16" t="s">
        <v>30</v>
      </c>
      <c r="H42" s="16" t="s">
        <v>31</v>
      </c>
      <c r="I42" s="16" t="s">
        <v>32</v>
      </c>
    </row>
    <row r="43" ht="15" customHeight="1">
      <c r="B43" s="24">
        <v>45911</v>
      </c>
      <c r="C43" s="26">
        <v>499</v>
      </c>
      <c r="D43" s="1" t="s">
        <v>33</v>
      </c>
      <c r="E43" s="1" t="s">
        <v>34</v>
      </c>
      <c r="F43" s="16">
        <v>1</v>
      </c>
      <c r="G43" s="16" t="s">
        <v>30</v>
      </c>
      <c r="H43" s="16" t="s">
        <v>31</v>
      </c>
      <c r="I43" s="16" t="s">
        <v>32</v>
      </c>
    </row>
    <row r="44" ht="15" customHeight="1">
      <c r="B44" s="24">
        <v>45918</v>
      </c>
      <c r="C44" s="26">
        <v>518</v>
      </c>
      <c r="D44" s="1" t="s">
        <v>33</v>
      </c>
      <c r="E44" s="1" t="s">
        <v>34</v>
      </c>
      <c r="F44" s="16">
        <v>1</v>
      </c>
      <c r="G44" s="16" t="s">
        <v>30</v>
      </c>
      <c r="H44" s="16" t="s">
        <v>31</v>
      </c>
      <c r="I44" s="16" t="s">
        <v>32</v>
      </c>
    </row>
    <row r="45" ht="15" customHeight="1">
      <c r="B45" s="24">
        <v>45925</v>
      </c>
      <c r="C45" s="26">
        <v>497</v>
      </c>
      <c r="D45" s="1" t="s">
        <v>33</v>
      </c>
      <c r="E45" s="1" t="s">
        <v>34</v>
      </c>
      <c r="F45" s="16">
        <v>1</v>
      </c>
      <c r="G45" s="16" t="s">
        <v>30</v>
      </c>
      <c r="H45" s="16" t="s">
        <v>31</v>
      </c>
      <c r="I45" s="16" t="s">
        <v>32</v>
      </c>
    </row>
    <row r="46" ht="15" customHeight="1">
      <c r="B46" s="24">
        <v>45932</v>
      </c>
      <c r="C46" s="26">
        <v>517</v>
      </c>
      <c r="D46" s="1" t="s">
        <v>33</v>
      </c>
      <c r="E46" s="1" t="s">
        <v>34</v>
      </c>
      <c r="F46" s="16">
        <v>1</v>
      </c>
      <c r="G46" s="16" t="s">
        <v>30</v>
      </c>
      <c r="H46" s="16" t="s">
        <v>31</v>
      </c>
      <c r="I46" s="16" t="s">
        <v>32</v>
      </c>
    </row>
    <row r="47" ht="15" customHeight="1">
      <c r="B47" s="24">
        <v>45939</v>
      </c>
      <c r="C47" s="26">
        <v>433</v>
      </c>
      <c r="D47" s="1" t="s">
        <v>33</v>
      </c>
      <c r="E47" s="1" t="s">
        <v>34</v>
      </c>
      <c r="F47" s="16">
        <v>1</v>
      </c>
      <c r="G47" s="16" t="s">
        <v>30</v>
      </c>
      <c r="H47" s="16" t="s">
        <v>31</v>
      </c>
      <c r="I47" s="16" t="s">
        <v>32</v>
      </c>
    </row>
    <row r="48" ht="15" customHeight="1">
      <c r="B48" s="24">
        <v>45946</v>
      </c>
      <c r="C48" s="26">
        <v>448</v>
      </c>
      <c r="D48" s="1" t="s">
        <v>33</v>
      </c>
      <c r="E48" s="1" t="s">
        <v>34</v>
      </c>
      <c r="F48" s="16">
        <v>1</v>
      </c>
      <c r="G48" s="16" t="s">
        <v>30</v>
      </c>
      <c r="H48" s="16" t="s">
        <v>31</v>
      </c>
      <c r="I48" s="16" t="s">
        <v>32</v>
      </c>
    </row>
    <row r="49" ht="15" customHeight="1">
      <c r="B49" s="24">
        <v>45953</v>
      </c>
      <c r="C49" s="26">
        <v>473</v>
      </c>
      <c r="D49" s="1" t="s">
        <v>33</v>
      </c>
      <c r="E49" s="1" t="s">
        <v>34</v>
      </c>
      <c r="F49" s="16">
        <v>1</v>
      </c>
      <c r="G49" s="16" t="s">
        <v>30</v>
      </c>
      <c r="H49" s="16" t="s">
        <v>31</v>
      </c>
      <c r="I49" s="16" t="s">
        <v>32</v>
      </c>
    </row>
    <row r="50" ht="15" customHeight="1">
      <c r="B50" s="24">
        <v>45960</v>
      </c>
      <c r="C50" s="26">
        <v>504</v>
      </c>
      <c r="D50" s="1" t="s">
        <v>33</v>
      </c>
      <c r="E50" s="1" t="s">
        <v>34</v>
      </c>
      <c r="F50" s="16">
        <v>1</v>
      </c>
      <c r="G50" s="16" t="s">
        <v>30</v>
      </c>
      <c r="H50" s="16" t="s">
        <v>31</v>
      </c>
      <c r="I50" s="16" t="s">
        <v>32</v>
      </c>
    </row>
    <row r="51" ht="15" customHeight="1">
      <c r="B51" s="24">
        <v>45967</v>
      </c>
      <c r="C51" s="26">
        <v>573</v>
      </c>
      <c r="D51" s="1" t="s">
        <v>33</v>
      </c>
      <c r="E51" s="1" t="s">
        <v>34</v>
      </c>
      <c r="F51" s="16">
        <v>1</v>
      </c>
      <c r="G51" s="16" t="s">
        <v>30</v>
      </c>
      <c r="H51" s="16" t="s">
        <v>31</v>
      </c>
      <c r="I51" s="16" t="s">
        <v>32</v>
      </c>
    </row>
    <row r="52" ht="15" customHeight="1">
      <c r="B52" s="24">
        <v>45974</v>
      </c>
      <c r="C52" s="26">
        <v>516</v>
      </c>
      <c r="D52" s="1" t="s">
        <v>33</v>
      </c>
      <c r="E52" s="1" t="s">
        <v>34</v>
      </c>
      <c r="F52" s="16">
        <v>1</v>
      </c>
      <c r="G52" s="16" t="s">
        <v>30</v>
      </c>
      <c r="H52" s="16" t="s">
        <v>31</v>
      </c>
      <c r="I52" s="16" t="s">
        <v>32</v>
      </c>
    </row>
    <row r="53" ht="15" customHeight="1">
      <c r="B53" s="24">
        <v>45981</v>
      </c>
      <c r="C53" s="26">
        <v>487</v>
      </c>
      <c r="D53" s="1" t="s">
        <v>33</v>
      </c>
      <c r="E53" s="1" t="s">
        <v>34</v>
      </c>
      <c r="F53" s="16">
        <v>1</v>
      </c>
      <c r="G53" s="16" t="s">
        <v>30</v>
      </c>
      <c r="H53" s="16" t="s">
        <v>31</v>
      </c>
      <c r="I53" s="16" t="s">
        <v>32</v>
      </c>
    </row>
    <row r="54" ht="15" customHeight="1">
      <c r="B54" s="24">
        <v>45988</v>
      </c>
      <c r="C54" s="26">
        <v>467</v>
      </c>
      <c r="D54" s="1" t="s">
        <v>33</v>
      </c>
      <c r="E54" s="1" t="s">
        <v>34</v>
      </c>
      <c r="F54" s="16">
        <v>1</v>
      </c>
      <c r="G54" s="16" t="s">
        <v>30</v>
      </c>
      <c r="H54" s="16" t="s">
        <v>31</v>
      </c>
      <c r="I54" s="16" t="s">
        <v>32</v>
      </c>
    </row>
    <row r="55" ht="15" customHeight="1">
      <c r="B55" s="24">
        <v>45995</v>
      </c>
      <c r="C55" s="1">
        <v>499</v>
      </c>
      <c r="D55" s="1" t="s">
        <v>33</v>
      </c>
      <c r="E55" s="1" t="s">
        <v>34</v>
      </c>
      <c r="F55" s="16">
        <v>1</v>
      </c>
      <c r="G55" s="16" t="s">
        <v>30</v>
      </c>
      <c r="H55" s="16" t="s">
        <v>31</v>
      </c>
      <c r="I55" s="16" t="s">
        <v>32</v>
      </c>
    </row>
    <row r="56" ht="15" customHeight="1">
      <c r="B56" s="24">
        <v>46002</v>
      </c>
      <c r="C56" s="1">
        <v>625</v>
      </c>
      <c r="D56" s="1" t="s">
        <v>33</v>
      </c>
      <c r="E56" s="1" t="s">
        <v>34</v>
      </c>
      <c r="F56" s="16">
        <v>1</v>
      </c>
      <c r="G56" s="16" t="s">
        <v>30</v>
      </c>
      <c r="H56" s="16" t="s">
        <v>31</v>
      </c>
      <c r="I56" s="16" t="s">
        <v>32</v>
      </c>
    </row>
    <row r="57" ht="15" customHeight="1">
      <c r="B57" s="24">
        <v>46009</v>
      </c>
      <c r="C57" s="1">
        <v>891</v>
      </c>
      <c r="D57" s="1" t="s">
        <v>33</v>
      </c>
      <c r="E57" s="1" t="s">
        <v>34</v>
      </c>
      <c r="F57" s="16">
        <v>1</v>
      </c>
      <c r="G57" s="16" t="s">
        <v>30</v>
      </c>
      <c r="H57" s="16" t="s">
        <v>31</v>
      </c>
      <c r="I57" s="16" t="s">
        <v>32</v>
      </c>
    </row>
    <row r="58" ht="15" customHeight="1">
      <c r="B58" s="24">
        <v>46016</v>
      </c>
      <c r="C58" s="1">
        <v>903</v>
      </c>
      <c r="D58" s="1" t="s">
        <v>33</v>
      </c>
      <c r="E58" s="1" t="s">
        <v>34</v>
      </c>
      <c r="F58" s="16">
        <v>1</v>
      </c>
      <c r="G58" s="16" t="s">
        <v>30</v>
      </c>
      <c r="H58" s="16" t="s">
        <v>31</v>
      </c>
      <c r="I58" s="16" t="s">
        <v>32</v>
      </c>
    </row>
    <row r="59" ht="15" customHeight="1">
      <c r="B59" s="24">
        <v>46037</v>
      </c>
      <c r="C59" s="1">
        <v>857</v>
      </c>
      <c r="D59" s="1" t="s">
        <v>33</v>
      </c>
      <c r="E59" s="1" t="s">
        <v>34</v>
      </c>
      <c r="F59" s="16">
        <v>1</v>
      </c>
      <c r="G59" s="16" t="s">
        <v>30</v>
      </c>
      <c r="H59" s="16" t="s">
        <v>31</v>
      </c>
      <c r="I59" s="16" t="s">
        <v>32</v>
      </c>
    </row>
    <row r="60" ht="15" customHeight="1">
      <c r="B60" s="24">
        <v>46044</v>
      </c>
      <c r="C60" s="1">
        <v>807</v>
      </c>
      <c r="D60" s="1" t="s">
        <v>33</v>
      </c>
      <c r="E60" s="1" t="s">
        <v>34</v>
      </c>
      <c r="F60" s="16">
        <v>1</v>
      </c>
      <c r="G60" s="16" t="s">
        <v>30</v>
      </c>
      <c r="H60" s="16" t="s">
        <v>31</v>
      </c>
      <c r="I60" s="16" t="s">
        <v>32</v>
      </c>
    </row>
    <row r="61" ht="15" customHeight="1">
      <c r="B61" s="24">
        <v>46051</v>
      </c>
      <c r="C61" s="1">
        <v>791</v>
      </c>
      <c r="D61" s="1" t="s">
        <v>33</v>
      </c>
      <c r="E61" s="1" t="s">
        <v>34</v>
      </c>
      <c r="F61" s="16">
        <v>1</v>
      </c>
      <c r="G61" s="16" t="s">
        <v>30</v>
      </c>
      <c r="H61" s="16" t="s">
        <v>31</v>
      </c>
      <c r="I61" s="16" t="s">
        <v>32</v>
      </c>
    </row>
    <row r="62" ht="15" customHeight="1">
      <c r="B62" s="24">
        <v>46058</v>
      </c>
      <c r="C62" s="1">
        <v>759</v>
      </c>
      <c r="D62" s="1" t="s">
        <v>33</v>
      </c>
      <c r="E62" s="1" t="s">
        <v>34</v>
      </c>
      <c r="F62" s="16">
        <v>1</v>
      </c>
      <c r="G62" s="16" t="s">
        <v>30</v>
      </c>
      <c r="H62" s="16" t="s">
        <v>31</v>
      </c>
      <c r="I62" s="16" t="s">
        <v>32</v>
      </c>
    </row>
    <row r="63" ht="15" customHeight="1">
      <c r="B63" s="24">
        <v>46065</v>
      </c>
      <c r="C63" s="1">
        <v>734</v>
      </c>
      <c r="D63" s="1" t="s">
        <v>33</v>
      </c>
      <c r="E63" s="1" t="s">
        <v>34</v>
      </c>
      <c r="F63" s="16">
        <v>1</v>
      </c>
      <c r="G63" s="16" t="s">
        <v>30</v>
      </c>
      <c r="H63" s="16" t="s">
        <v>31</v>
      </c>
      <c r="I63" s="16" t="s">
        <v>32</v>
      </c>
    </row>
    <row r="64" ht="15" customHeight="1">
      <c r="B64" s="24">
        <v>46072</v>
      </c>
      <c r="C64" s="1">
        <v>733</v>
      </c>
      <c r="D64" s="1" t="s">
        <v>33</v>
      </c>
      <c r="E64" s="1" t="s">
        <v>34</v>
      </c>
      <c r="F64" s="16">
        <v>1</v>
      </c>
      <c r="G64" s="16" t="s">
        <v>30</v>
      </c>
      <c r="H64" s="16" t="s">
        <v>31</v>
      </c>
      <c r="I64" s="16" t="s">
        <v>32</v>
      </c>
    </row>
    <row r="65" ht="15" customHeight="1">
      <c r="B65" s="24">
        <v>46079</v>
      </c>
      <c r="C65" s="1">
        <v>659</v>
      </c>
      <c r="D65" s="1" t="s">
        <v>33</v>
      </c>
      <c r="E65" s="1" t="s">
        <v>34</v>
      </c>
      <c r="F65" s="16">
        <v>1</v>
      </c>
      <c r="G65" s="16" t="s">
        <v>30</v>
      </c>
      <c r="H65" s="16" t="s">
        <v>31</v>
      </c>
      <c r="I65" s="16" t="s">
        <v>32</v>
      </c>
    </row>
    <row r="66" ht="15" customHeight="1">
      <c r="B66" s="24">
        <v>46086</v>
      </c>
      <c r="C66" s="1">
        <v>609</v>
      </c>
      <c r="D66" s="1" t="s">
        <v>33</v>
      </c>
      <c r="E66" s="1" t="s">
        <v>34</v>
      </c>
      <c r="F66" s="16">
        <v>1</v>
      </c>
      <c r="G66" s="16" t="s">
        <v>30</v>
      </c>
      <c r="H66" s="16" t="s">
        <v>31</v>
      </c>
      <c r="I66" s="16" t="s">
        <v>32</v>
      </c>
    </row>
    <row r="67" ht="15" customHeight="1">
      <c r="B67" s="24">
        <v>46093</v>
      </c>
      <c r="C67" s="1">
        <v>650</v>
      </c>
      <c r="D67" s="1" t="s">
        <v>33</v>
      </c>
      <c r="E67" s="1" t="s">
        <v>34</v>
      </c>
      <c r="F67" s="16">
        <v>1</v>
      </c>
      <c r="G67" s="16" t="s">
        <v>30</v>
      </c>
      <c r="H67" s="16" t="s">
        <v>31</v>
      </c>
      <c r="I67" s="16" t="s">
        <v>32</v>
      </c>
    </row>
    <row r="68" ht="15" customHeight="1">
      <c r="B68" s="24">
        <v>46100</v>
      </c>
      <c r="C68" s="1">
        <v>688</v>
      </c>
      <c r="D68" s="1" t="s">
        <v>33</v>
      </c>
      <c r="E68" s="1" t="s">
        <v>34</v>
      </c>
      <c r="F68" s="16">
        <v>1</v>
      </c>
      <c r="G68" s="16" t="s">
        <v>30</v>
      </c>
      <c r="H68" s="16" t="s">
        <v>31</v>
      </c>
      <c r="I68" s="16" t="s">
        <v>32</v>
      </c>
    </row>
    <row r="69" ht="15" customHeight="1">
      <c r="B69" s="24">
        <v>46107</v>
      </c>
      <c r="C69" s="1">
        <v>651</v>
      </c>
      <c r="D69" s="1" t="s">
        <v>33</v>
      </c>
      <c r="E69" s="1" t="s">
        <v>34</v>
      </c>
      <c r="F69" s="16">
        <v>1</v>
      </c>
      <c r="G69" s="16" t="s">
        <v>30</v>
      </c>
      <c r="H69" s="16" t="s">
        <v>31</v>
      </c>
      <c r="I69" s="16" t="s">
        <v>32</v>
      </c>
    </row>
    <row r="70" ht="15" customHeight="1">
      <c r="B70" s="24">
        <v>46114</v>
      </c>
      <c r="C70" s="1">
        <v>574</v>
      </c>
      <c r="D70" s="1" t="s">
        <v>33</v>
      </c>
      <c r="E70" s="1" t="s">
        <v>34</v>
      </c>
      <c r="F70" s="16">
        <v>1</v>
      </c>
      <c r="G70" s="16" t="s">
        <v>30</v>
      </c>
      <c r="H70" s="16" t="s">
        <v>31</v>
      </c>
      <c r="I70" s="16" t="s">
        <v>32</v>
      </c>
    </row>
    <row r="71" ht="15" customHeight="1">
      <c r="B71" s="24">
        <v>46121</v>
      </c>
      <c r="C71" s="27">
        <v>635</v>
      </c>
      <c r="D71" s="1" t="s">
        <v>33</v>
      </c>
      <c r="E71" s="1" t="s">
        <v>34</v>
      </c>
      <c r="F71" s="16">
        <v>1</v>
      </c>
      <c r="G71" s="16" t="s">
        <v>30</v>
      </c>
      <c r="H71" s="16" t="s">
        <v>31</v>
      </c>
      <c r="I71" s="16" t="s">
        <v>32</v>
      </c>
    </row>
    <row r="72" ht="15" customHeight="1">
      <c r="B72" s="24">
        <v>45897</v>
      </c>
      <c r="C72" s="1">
        <v>621</v>
      </c>
      <c r="D72" s="1" t="s">
        <v>35</v>
      </c>
      <c r="E72" s="1" t="s">
        <v>36</v>
      </c>
      <c r="F72" s="16">
        <v>1</v>
      </c>
      <c r="G72" s="16" t="s">
        <v>37</v>
      </c>
      <c r="H72" s="16" t="s">
        <v>31</v>
      </c>
      <c r="I72" s="16" t="s">
        <v>32</v>
      </c>
    </row>
    <row r="73" ht="15" customHeight="1">
      <c r="B73" s="24">
        <v>45904</v>
      </c>
      <c r="C73" s="1">
        <v>646</v>
      </c>
      <c r="D73" s="1" t="s">
        <v>35</v>
      </c>
      <c r="E73" s="1" t="s">
        <v>36</v>
      </c>
      <c r="F73" s="16">
        <v>1</v>
      </c>
      <c r="G73" s="16" t="s">
        <v>37</v>
      </c>
      <c r="H73" s="16" t="s">
        <v>31</v>
      </c>
      <c r="I73" s="16" t="s">
        <v>32</v>
      </c>
    </row>
    <row r="74" ht="15" customHeight="1">
      <c r="B74" s="24">
        <v>45911</v>
      </c>
      <c r="C74" s="1">
        <v>599</v>
      </c>
      <c r="D74" s="1" t="s">
        <v>35</v>
      </c>
      <c r="E74" s="1" t="s">
        <v>36</v>
      </c>
      <c r="F74" s="16">
        <v>1</v>
      </c>
      <c r="G74" s="16" t="s">
        <v>37</v>
      </c>
      <c r="H74" s="16" t="s">
        <v>31</v>
      </c>
      <c r="I74" s="16" t="s">
        <v>32</v>
      </c>
    </row>
    <row r="75" ht="15" customHeight="1">
      <c r="B75" s="24">
        <v>45918</v>
      </c>
      <c r="C75" s="1">
        <v>611</v>
      </c>
      <c r="D75" s="1" t="s">
        <v>35</v>
      </c>
      <c r="E75" s="1" t="s">
        <v>36</v>
      </c>
      <c r="F75" s="16">
        <v>1</v>
      </c>
      <c r="G75" s="16" t="s">
        <v>37</v>
      </c>
      <c r="H75" s="16" t="s">
        <v>31</v>
      </c>
      <c r="I75" s="16" t="s">
        <v>32</v>
      </c>
    </row>
    <row r="76" ht="15" customHeight="1">
      <c r="B76" s="24">
        <v>45925</v>
      </c>
      <c r="C76" s="1">
        <v>587</v>
      </c>
      <c r="D76" s="1" t="s">
        <v>35</v>
      </c>
      <c r="E76" s="1" t="s">
        <v>36</v>
      </c>
      <c r="F76" s="16">
        <v>1</v>
      </c>
      <c r="G76" s="16" t="s">
        <v>37</v>
      </c>
      <c r="H76" s="16" t="s">
        <v>31</v>
      </c>
      <c r="I76" s="16" t="s">
        <v>32</v>
      </c>
    </row>
    <row r="77" ht="15" customHeight="1">
      <c r="B77" s="24">
        <v>45932</v>
      </c>
      <c r="C77" s="1">
        <v>612</v>
      </c>
      <c r="D77" s="1" t="s">
        <v>35</v>
      </c>
      <c r="E77" s="1" t="s">
        <v>36</v>
      </c>
      <c r="F77" s="16">
        <v>1</v>
      </c>
      <c r="G77" s="16" t="s">
        <v>37</v>
      </c>
      <c r="H77" s="16" t="s">
        <v>31</v>
      </c>
      <c r="I77" s="16" t="s">
        <v>32</v>
      </c>
    </row>
    <row r="78" ht="15" customHeight="1">
      <c r="B78" s="24">
        <v>45939</v>
      </c>
      <c r="C78" s="1">
        <v>504</v>
      </c>
      <c r="D78" s="1" t="s">
        <v>35</v>
      </c>
      <c r="E78" s="1" t="s">
        <v>36</v>
      </c>
      <c r="F78" s="16">
        <v>1</v>
      </c>
      <c r="G78" s="16" t="s">
        <v>37</v>
      </c>
      <c r="H78" s="16" t="s">
        <v>31</v>
      </c>
      <c r="I78" s="16" t="s">
        <v>32</v>
      </c>
    </row>
    <row r="79" ht="15" customHeight="1">
      <c r="B79" s="24">
        <v>45946</v>
      </c>
      <c r="C79" s="1">
        <v>541</v>
      </c>
      <c r="D79" s="1" t="s">
        <v>35</v>
      </c>
      <c r="E79" s="1" t="s">
        <v>36</v>
      </c>
      <c r="F79" s="16">
        <v>1</v>
      </c>
      <c r="G79" s="16" t="s">
        <v>37</v>
      </c>
      <c r="H79" s="16" t="s">
        <v>31</v>
      </c>
      <c r="I79" s="16" t="s">
        <v>32</v>
      </c>
    </row>
    <row r="80" ht="15" customHeight="1">
      <c r="B80" s="24">
        <v>45953</v>
      </c>
      <c r="C80" s="1">
        <v>551</v>
      </c>
      <c r="D80" s="1" t="s">
        <v>35</v>
      </c>
      <c r="E80" s="1" t="s">
        <v>36</v>
      </c>
      <c r="F80" s="16">
        <v>1</v>
      </c>
      <c r="G80" s="16" t="s">
        <v>37</v>
      </c>
      <c r="H80" s="16" t="s">
        <v>31</v>
      </c>
      <c r="I80" s="16" t="s">
        <v>32</v>
      </c>
    </row>
    <row r="81" ht="15" customHeight="1">
      <c r="B81" s="24">
        <v>45960</v>
      </c>
      <c r="C81" s="1">
        <v>597</v>
      </c>
      <c r="D81" s="1" t="s">
        <v>35</v>
      </c>
      <c r="E81" s="1" t="s">
        <v>36</v>
      </c>
      <c r="F81" s="16">
        <v>1</v>
      </c>
      <c r="G81" s="16" t="s">
        <v>37</v>
      </c>
      <c r="H81" s="16" t="s">
        <v>31</v>
      </c>
      <c r="I81" s="16" t="s">
        <v>32</v>
      </c>
    </row>
    <row r="82" ht="15" customHeight="1">
      <c r="B82" s="24">
        <v>45967</v>
      </c>
      <c r="C82" s="1">
        <v>652</v>
      </c>
      <c r="D82" s="1" t="s">
        <v>35</v>
      </c>
      <c r="E82" s="1" t="s">
        <v>36</v>
      </c>
      <c r="F82" s="16">
        <v>1</v>
      </c>
      <c r="G82" s="16" t="s">
        <v>37</v>
      </c>
      <c r="H82" s="16" t="s">
        <v>31</v>
      </c>
      <c r="I82" s="16" t="s">
        <v>32</v>
      </c>
    </row>
    <row r="83" ht="15" customHeight="1">
      <c r="B83" s="24">
        <v>45974</v>
      </c>
      <c r="C83" s="1">
        <v>602</v>
      </c>
      <c r="D83" s="1" t="s">
        <v>35</v>
      </c>
      <c r="E83" s="1" t="s">
        <v>36</v>
      </c>
      <c r="F83" s="16">
        <v>1</v>
      </c>
      <c r="G83" s="16" t="s">
        <v>37</v>
      </c>
      <c r="H83" s="16" t="s">
        <v>31</v>
      </c>
      <c r="I83" s="16" t="s">
        <v>32</v>
      </c>
    </row>
    <row r="84" ht="15" customHeight="1">
      <c r="B84" s="24">
        <v>45981</v>
      </c>
      <c r="C84" s="1">
        <v>586</v>
      </c>
      <c r="D84" s="1" t="s">
        <v>35</v>
      </c>
      <c r="E84" s="1" t="s">
        <v>36</v>
      </c>
      <c r="F84" s="16">
        <v>1</v>
      </c>
      <c r="G84" s="16" t="s">
        <v>37</v>
      </c>
      <c r="H84" s="16" t="s">
        <v>31</v>
      </c>
      <c r="I84" s="16" t="s">
        <v>32</v>
      </c>
    </row>
    <row r="85" ht="15" customHeight="1">
      <c r="B85" s="24">
        <v>45988</v>
      </c>
      <c r="C85" s="1">
        <v>639</v>
      </c>
      <c r="D85" s="1" t="s">
        <v>35</v>
      </c>
      <c r="E85" s="1" t="s">
        <v>36</v>
      </c>
      <c r="F85" s="16">
        <v>1</v>
      </c>
      <c r="G85" s="16" t="s">
        <v>37</v>
      </c>
      <c r="H85" s="16" t="s">
        <v>31</v>
      </c>
      <c r="I85" s="16" t="s">
        <v>32</v>
      </c>
    </row>
    <row r="86" ht="15" customHeight="1">
      <c r="B86" s="24">
        <v>45995</v>
      </c>
      <c r="C86" s="1">
        <v>648</v>
      </c>
      <c r="D86" s="1" t="s">
        <v>35</v>
      </c>
      <c r="E86" s="1" t="s">
        <v>36</v>
      </c>
      <c r="F86" s="16">
        <v>1</v>
      </c>
      <c r="G86" s="16" t="s">
        <v>37</v>
      </c>
      <c r="H86" s="16" t="s">
        <v>31</v>
      </c>
      <c r="I86" s="16" t="s">
        <v>32</v>
      </c>
    </row>
    <row r="87" ht="15" customHeight="1">
      <c r="B87" s="24">
        <v>46002</v>
      </c>
      <c r="C87" s="1">
        <v>998</v>
      </c>
      <c r="D87" s="1" t="s">
        <v>35</v>
      </c>
      <c r="E87" s="1" t="s">
        <v>36</v>
      </c>
      <c r="F87" s="16">
        <v>1</v>
      </c>
      <c r="G87" s="16" t="s">
        <v>37</v>
      </c>
      <c r="H87" s="16" t="s">
        <v>31</v>
      </c>
      <c r="I87" s="16" t="s">
        <v>32</v>
      </c>
    </row>
    <row r="88" ht="15" customHeight="1">
      <c r="B88" s="24">
        <v>46009</v>
      </c>
      <c r="C88" s="1">
        <v>1605</v>
      </c>
      <c r="D88" s="1" t="s">
        <v>35</v>
      </c>
      <c r="E88" s="1" t="s">
        <v>36</v>
      </c>
      <c r="F88" s="16">
        <v>1</v>
      </c>
      <c r="G88" s="16" t="s">
        <v>37</v>
      </c>
      <c r="H88" s="16" t="s">
        <v>31</v>
      </c>
      <c r="I88" s="16" t="s">
        <v>32</v>
      </c>
    </row>
    <row r="89" ht="15" customHeight="1">
      <c r="B89" s="24">
        <v>46016</v>
      </c>
      <c r="C89" s="1">
        <v>1628</v>
      </c>
      <c r="D89" s="1" t="s">
        <v>35</v>
      </c>
      <c r="E89" s="1" t="s">
        <v>36</v>
      </c>
      <c r="F89" s="16">
        <v>1</v>
      </c>
      <c r="G89" s="16" t="s">
        <v>37</v>
      </c>
      <c r="H89" s="16" t="s">
        <v>31</v>
      </c>
      <c r="I89" s="16" t="s">
        <v>32</v>
      </c>
    </row>
    <row r="90" ht="15" customHeight="1">
      <c r="B90" s="24">
        <v>46037</v>
      </c>
      <c r="C90" s="1">
        <v>1496</v>
      </c>
      <c r="D90" s="1" t="s">
        <v>35</v>
      </c>
      <c r="E90" s="1" t="s">
        <v>36</v>
      </c>
      <c r="F90" s="16">
        <v>1</v>
      </c>
      <c r="G90" s="16" t="s">
        <v>37</v>
      </c>
      <c r="H90" s="16" t="s">
        <v>31</v>
      </c>
      <c r="I90" s="16" t="s">
        <v>32</v>
      </c>
    </row>
    <row r="91" ht="15" customHeight="1">
      <c r="B91" s="24">
        <v>46044</v>
      </c>
      <c r="C91" s="1">
        <v>1279</v>
      </c>
      <c r="D91" s="1" t="s">
        <v>35</v>
      </c>
      <c r="E91" s="1" t="s">
        <v>36</v>
      </c>
      <c r="F91" s="16">
        <v>1</v>
      </c>
      <c r="G91" s="16" t="s">
        <v>37</v>
      </c>
      <c r="H91" s="16" t="s">
        <v>31</v>
      </c>
      <c r="I91" s="16" t="s">
        <v>32</v>
      </c>
    </row>
    <row r="92" ht="15" customHeight="1">
      <c r="B92" s="24">
        <v>46051</v>
      </c>
      <c r="C92" s="1">
        <v>1309</v>
      </c>
      <c r="D92" s="1" t="s">
        <v>35</v>
      </c>
      <c r="E92" s="1" t="s">
        <v>36</v>
      </c>
      <c r="F92" s="16">
        <v>1</v>
      </c>
      <c r="G92" s="16" t="s">
        <v>37</v>
      </c>
      <c r="H92" s="16" t="s">
        <v>31</v>
      </c>
      <c r="I92" s="16" t="s">
        <v>32</v>
      </c>
    </row>
    <row r="93" ht="15" customHeight="1">
      <c r="B93" s="24">
        <v>46058</v>
      </c>
      <c r="C93" s="1">
        <v>1071</v>
      </c>
      <c r="D93" s="1" t="s">
        <v>35</v>
      </c>
      <c r="E93" s="1" t="s">
        <v>36</v>
      </c>
      <c r="F93" s="16">
        <v>1</v>
      </c>
      <c r="G93" s="16" t="s">
        <v>37</v>
      </c>
      <c r="H93" s="16" t="s">
        <v>31</v>
      </c>
      <c r="I93" s="16" t="s">
        <v>32</v>
      </c>
    </row>
    <row r="94" ht="15" customHeight="1">
      <c r="B94" s="24">
        <v>46065</v>
      </c>
      <c r="C94" s="1">
        <v>1123</v>
      </c>
      <c r="D94" s="1" t="s">
        <v>35</v>
      </c>
      <c r="E94" s="1" t="s">
        <v>36</v>
      </c>
      <c r="F94" s="16">
        <v>1</v>
      </c>
      <c r="G94" s="16" t="s">
        <v>37</v>
      </c>
      <c r="H94" s="16" t="s">
        <v>31</v>
      </c>
      <c r="I94" s="16" t="s">
        <v>32</v>
      </c>
    </row>
    <row r="95" ht="15" customHeight="1">
      <c r="B95" s="24">
        <v>46072</v>
      </c>
      <c r="C95" s="1">
        <v>1037</v>
      </c>
      <c r="D95" s="1" t="s">
        <v>35</v>
      </c>
      <c r="E95" s="1" t="s">
        <v>36</v>
      </c>
      <c r="F95" s="16">
        <v>1</v>
      </c>
      <c r="G95" s="16" t="s">
        <v>37</v>
      </c>
      <c r="H95" s="16" t="s">
        <v>31</v>
      </c>
      <c r="I95" s="16" t="s">
        <v>32</v>
      </c>
    </row>
    <row r="96" ht="15" customHeight="1">
      <c r="B96" s="24">
        <v>46079</v>
      </c>
      <c r="C96" s="1">
        <v>872</v>
      </c>
      <c r="D96" s="1" t="s">
        <v>35</v>
      </c>
      <c r="E96" s="1" t="s">
        <v>36</v>
      </c>
      <c r="F96" s="16">
        <v>1</v>
      </c>
      <c r="G96" s="16" t="s">
        <v>37</v>
      </c>
      <c r="H96" s="16" t="s">
        <v>31</v>
      </c>
      <c r="I96" s="16" t="s">
        <v>32</v>
      </c>
    </row>
    <row r="97" ht="15" customHeight="1">
      <c r="B97" s="24">
        <v>46086</v>
      </c>
      <c r="C97" s="1">
        <v>790</v>
      </c>
      <c r="D97" s="1" t="s">
        <v>35</v>
      </c>
      <c r="E97" s="1" t="s">
        <v>36</v>
      </c>
      <c r="F97" s="16">
        <v>1</v>
      </c>
      <c r="G97" s="16" t="s">
        <v>37</v>
      </c>
      <c r="H97" s="16" t="s">
        <v>31</v>
      </c>
      <c r="I97" s="16" t="s">
        <v>32</v>
      </c>
    </row>
    <row r="98" ht="15" customHeight="1">
      <c r="B98" s="24">
        <v>46093</v>
      </c>
      <c r="C98" s="1">
        <v>943</v>
      </c>
      <c r="D98" s="1" t="s">
        <v>35</v>
      </c>
      <c r="E98" s="1" t="s">
        <v>36</v>
      </c>
      <c r="F98" s="16">
        <v>1</v>
      </c>
      <c r="G98" s="16" t="s">
        <v>37</v>
      </c>
      <c r="H98" s="16" t="s">
        <v>31</v>
      </c>
      <c r="I98" s="16" t="s">
        <v>32</v>
      </c>
    </row>
    <row r="99" ht="15" customHeight="1">
      <c r="B99" s="24">
        <v>46100</v>
      </c>
      <c r="C99" s="1">
        <v>993</v>
      </c>
      <c r="D99" s="1" t="s">
        <v>35</v>
      </c>
      <c r="E99" s="1" t="s">
        <v>36</v>
      </c>
      <c r="F99" s="16">
        <v>1</v>
      </c>
      <c r="G99" s="16" t="s">
        <v>37</v>
      </c>
      <c r="H99" s="16" t="s">
        <v>31</v>
      </c>
      <c r="I99" s="16" t="s">
        <v>32</v>
      </c>
    </row>
    <row r="100" ht="15" customHeight="1">
      <c r="B100" s="24">
        <v>46107</v>
      </c>
      <c r="C100" s="1">
        <v>955</v>
      </c>
      <c r="D100" s="1" t="s">
        <v>35</v>
      </c>
      <c r="E100" s="1" t="s">
        <v>36</v>
      </c>
      <c r="F100" s="16">
        <v>1</v>
      </c>
      <c r="G100" s="16" t="s">
        <v>37</v>
      </c>
      <c r="H100" s="16" t="s">
        <v>31</v>
      </c>
      <c r="I100" s="16" t="s">
        <v>32</v>
      </c>
    </row>
    <row r="101" ht="15" customHeight="1">
      <c r="B101" s="24">
        <v>46114</v>
      </c>
      <c r="C101" s="1">
        <v>728</v>
      </c>
      <c r="D101" s="1" t="s">
        <v>35</v>
      </c>
      <c r="E101" s="1" t="s">
        <v>36</v>
      </c>
      <c r="F101" s="16">
        <v>1</v>
      </c>
      <c r="G101" s="16" t="s">
        <v>37</v>
      </c>
      <c r="H101" s="16" t="s">
        <v>31</v>
      </c>
      <c r="I101" s="16" t="s">
        <v>32</v>
      </c>
    </row>
    <row r="102" ht="15" customHeight="1">
      <c r="B102" s="24">
        <v>46121</v>
      </c>
      <c r="C102" s="27">
        <v>893</v>
      </c>
      <c r="D102" s="1" t="s">
        <v>35</v>
      </c>
      <c r="E102" s="1" t="s">
        <v>36</v>
      </c>
      <c r="F102" s="16">
        <v>1</v>
      </c>
      <c r="G102" s="16" t="s">
        <v>37</v>
      </c>
      <c r="H102" s="16" t="s">
        <v>31</v>
      </c>
      <c r="I102" s="16" t="s">
        <v>32</v>
      </c>
    </row>
    <row r="103" ht="15" customHeight="1">
      <c r="B103" s="24">
        <v>45897</v>
      </c>
      <c r="C103" s="28">
        <v>2.2157953281423803</v>
      </c>
      <c r="D103" s="1" t="s">
        <v>38</v>
      </c>
      <c r="E103" s="1" t="s">
        <v>39</v>
      </c>
      <c r="F103" s="16">
        <v>1</v>
      </c>
      <c r="G103" s="16" t="s">
        <v>40</v>
      </c>
      <c r="H103" s="16" t="s">
        <v>31</v>
      </c>
      <c r="I103" s="16" t="s">
        <v>32</v>
      </c>
    </row>
    <row r="104" ht="15" customHeight="1">
      <c r="B104" s="24">
        <v>45904</v>
      </c>
      <c r="C104" s="28">
        <v>2.3607907742998351</v>
      </c>
      <c r="D104" s="1" t="s">
        <v>38</v>
      </c>
      <c r="E104" s="1" t="s">
        <v>39</v>
      </c>
      <c r="F104" s="16">
        <v>1</v>
      </c>
      <c r="G104" s="16" t="s">
        <v>40</v>
      </c>
      <c r="H104" s="16" t="s">
        <v>31</v>
      </c>
      <c r="I104" s="16" t="s">
        <v>32</v>
      </c>
    </row>
    <row r="105" ht="15" customHeight="1">
      <c r="B105" s="24">
        <v>45911</v>
      </c>
      <c r="C105" s="28">
        <v>2.5322230267921797</v>
      </c>
      <c r="D105" s="1" t="s">
        <v>38</v>
      </c>
      <c r="E105" s="1" t="s">
        <v>39</v>
      </c>
      <c r="F105" s="16">
        <v>1</v>
      </c>
      <c r="G105" s="16" t="s">
        <v>40</v>
      </c>
      <c r="H105" s="16" t="s">
        <v>31</v>
      </c>
      <c r="I105" s="16" t="s">
        <v>32</v>
      </c>
    </row>
    <row r="106" ht="15" customHeight="1">
      <c r="B106" s="24">
        <v>45918</v>
      </c>
      <c r="C106" s="28">
        <v>2.6192821956368753</v>
      </c>
      <c r="D106" s="1" t="s">
        <v>38</v>
      </c>
      <c r="E106" s="1" t="s">
        <v>39</v>
      </c>
      <c r="F106" s="16">
        <v>1</v>
      </c>
      <c r="G106" s="16" t="s">
        <v>40</v>
      </c>
      <c r="H106" s="16" t="s">
        <v>31</v>
      </c>
      <c r="I106" s="16" t="s">
        <v>32</v>
      </c>
    </row>
    <row r="107" ht="15" customHeight="1">
      <c r="B107" s="24">
        <v>45925</v>
      </c>
      <c r="C107" s="28">
        <v>2.7321474773609311</v>
      </c>
      <c r="D107" s="1" t="s">
        <v>38</v>
      </c>
      <c r="E107" s="1" t="s">
        <v>39</v>
      </c>
      <c r="F107" s="16">
        <v>1</v>
      </c>
      <c r="G107" s="16" t="s">
        <v>40</v>
      </c>
      <c r="H107" s="16" t="s">
        <v>31</v>
      </c>
      <c r="I107" s="16" t="s">
        <v>32</v>
      </c>
    </row>
    <row r="108" ht="15" customHeight="1">
      <c r="B108" s="24">
        <v>45932</v>
      </c>
      <c r="C108" s="28">
        <v>2.7244967880085653</v>
      </c>
      <c r="D108" s="1" t="s">
        <v>38</v>
      </c>
      <c r="E108" s="1" t="s">
        <v>39</v>
      </c>
      <c r="F108" s="16">
        <v>1</v>
      </c>
      <c r="G108" s="16" t="s">
        <v>40</v>
      </c>
      <c r="H108" s="16" t="s">
        <v>31</v>
      </c>
      <c r="I108" s="16" t="s">
        <v>32</v>
      </c>
    </row>
    <row r="109" ht="15" customHeight="1">
      <c r="B109" s="24">
        <v>45939</v>
      </c>
      <c r="C109" s="28">
        <v>2.7191525423728811</v>
      </c>
      <c r="D109" s="1" t="s">
        <v>38</v>
      </c>
      <c r="E109" s="1" t="s">
        <v>39</v>
      </c>
      <c r="F109" s="16">
        <v>1</v>
      </c>
      <c r="G109" s="16" t="s">
        <v>40</v>
      </c>
      <c r="H109" s="16" t="s">
        <v>31</v>
      </c>
      <c r="I109" s="16" t="s">
        <v>32</v>
      </c>
    </row>
    <row r="110" ht="15" customHeight="1">
      <c r="B110" s="24">
        <v>45946</v>
      </c>
      <c r="C110" s="28">
        <v>2.9485117691723617</v>
      </c>
      <c r="D110" s="1" t="s">
        <v>38</v>
      </c>
      <c r="E110" s="1" t="s">
        <v>39</v>
      </c>
      <c r="F110" s="16">
        <v>1</v>
      </c>
      <c r="G110" s="16" t="s">
        <v>40</v>
      </c>
      <c r="H110" s="16" t="s">
        <v>31</v>
      </c>
      <c r="I110" s="16" t="s">
        <v>32</v>
      </c>
    </row>
    <row r="111" ht="15" customHeight="1">
      <c r="B111" s="24">
        <v>45953</v>
      </c>
      <c r="C111" s="28">
        <v>2.948323983169705</v>
      </c>
      <c r="D111" s="1" t="s">
        <v>38</v>
      </c>
      <c r="E111" s="1" t="s">
        <v>39</v>
      </c>
      <c r="F111" s="16">
        <v>1</v>
      </c>
      <c r="G111" s="16" t="s">
        <v>40</v>
      </c>
      <c r="H111" s="16" t="s">
        <v>31</v>
      </c>
      <c r="I111" s="16" t="s">
        <v>32</v>
      </c>
    </row>
    <row r="112" ht="15" customHeight="1">
      <c r="B112" s="24">
        <v>45960</v>
      </c>
      <c r="C112" s="28">
        <v>3.2097378277153559</v>
      </c>
      <c r="D112" s="1" t="s">
        <v>38</v>
      </c>
      <c r="E112" s="1" t="s">
        <v>39</v>
      </c>
      <c r="F112" s="16">
        <v>1</v>
      </c>
      <c r="G112" s="16" t="s">
        <v>40</v>
      </c>
      <c r="H112" s="16" t="s">
        <v>31</v>
      </c>
      <c r="I112" s="16" t="s">
        <v>32</v>
      </c>
    </row>
    <row r="113" ht="15" customHeight="1">
      <c r="B113" s="24">
        <v>45967</v>
      </c>
      <c r="C113" s="28">
        <v>2.4809130645944637</v>
      </c>
      <c r="D113" s="1" t="s">
        <v>38</v>
      </c>
      <c r="E113" s="1" t="s">
        <v>39</v>
      </c>
      <c r="F113" s="16">
        <v>1</v>
      </c>
      <c r="G113" s="16" t="s">
        <v>40</v>
      </c>
      <c r="H113" s="16" t="s">
        <v>31</v>
      </c>
      <c r="I113" s="16" t="s">
        <v>32</v>
      </c>
    </row>
    <row r="114" ht="15" customHeight="1">
      <c r="B114" s="24">
        <v>45974</v>
      </c>
      <c r="C114" s="28">
        <v>3.2229976019184652</v>
      </c>
      <c r="D114" s="1" t="s">
        <v>38</v>
      </c>
      <c r="E114" s="1" t="s">
        <v>39</v>
      </c>
      <c r="F114" s="16">
        <v>1</v>
      </c>
      <c r="G114" s="16" t="s">
        <v>40</v>
      </c>
      <c r="H114" s="16" t="s">
        <v>31</v>
      </c>
      <c r="I114" s="16" t="s">
        <v>32</v>
      </c>
    </row>
    <row r="115" ht="15" customHeight="1">
      <c r="B115" s="24">
        <v>45981</v>
      </c>
      <c r="C115" s="28">
        <v>3.189367710251688</v>
      </c>
      <c r="D115" s="1" t="s">
        <v>38</v>
      </c>
      <c r="E115" s="1" t="s">
        <v>39</v>
      </c>
      <c r="F115" s="16">
        <v>1</v>
      </c>
      <c r="G115" s="16" t="s">
        <v>40</v>
      </c>
      <c r="H115" s="16" t="s">
        <v>31</v>
      </c>
      <c r="I115" s="16" t="s">
        <v>32</v>
      </c>
    </row>
    <row r="116" ht="15" customHeight="1">
      <c r="B116" s="24">
        <v>45988</v>
      </c>
      <c r="C116" s="28">
        <v>3.4492647058823529</v>
      </c>
      <c r="D116" s="1" t="s">
        <v>38</v>
      </c>
      <c r="E116" s="1" t="s">
        <v>39</v>
      </c>
      <c r="F116" s="16">
        <v>1</v>
      </c>
      <c r="G116" s="16" t="s">
        <v>40</v>
      </c>
      <c r="H116" s="16" t="s">
        <v>31</v>
      </c>
      <c r="I116" s="16" t="s">
        <v>32</v>
      </c>
    </row>
    <row r="117" ht="15" customHeight="1">
      <c r="B117" s="24">
        <v>45995</v>
      </c>
      <c r="C117" s="28">
        <v>3.2472006890611542</v>
      </c>
      <c r="D117" s="1" t="s">
        <v>38</v>
      </c>
      <c r="E117" s="1" t="s">
        <v>39</v>
      </c>
      <c r="F117" s="16">
        <v>1</v>
      </c>
      <c r="G117" s="16" t="s">
        <v>40</v>
      </c>
      <c r="H117" s="16" t="s">
        <v>31</v>
      </c>
      <c r="I117" s="16" t="s">
        <v>32</v>
      </c>
    </row>
    <row r="118" ht="15" customHeight="1">
      <c r="B118" s="24">
        <v>46002</v>
      </c>
      <c r="C118" s="28">
        <v>2.9541432019308127</v>
      </c>
      <c r="D118" s="1" t="s">
        <v>38</v>
      </c>
      <c r="E118" s="1" t="s">
        <v>39</v>
      </c>
      <c r="F118" s="16">
        <v>1</v>
      </c>
      <c r="G118" s="16" t="s">
        <v>40</v>
      </c>
      <c r="H118" s="16" t="s">
        <v>31</v>
      </c>
      <c r="I118" s="16" t="s">
        <v>32</v>
      </c>
    </row>
    <row r="119" ht="15" customHeight="1">
      <c r="B119" s="24">
        <v>46009</v>
      </c>
      <c r="C119" s="28">
        <v>3.0016515276630882</v>
      </c>
      <c r="D119" s="1" t="s">
        <v>38</v>
      </c>
      <c r="E119" s="1" t="s">
        <v>39</v>
      </c>
      <c r="F119" s="16">
        <v>1</v>
      </c>
      <c r="G119" s="16" t="s">
        <v>40</v>
      </c>
      <c r="H119" s="16" t="s">
        <v>31</v>
      </c>
      <c r="I119" s="16" t="s">
        <v>32</v>
      </c>
    </row>
    <row r="120" ht="15" customHeight="1">
      <c r="B120" s="24">
        <v>46016</v>
      </c>
      <c r="C120" s="28">
        <v>3.3192771084337349</v>
      </c>
      <c r="D120" s="1" t="s">
        <v>38</v>
      </c>
      <c r="E120" s="1" t="s">
        <v>39</v>
      </c>
      <c r="F120" s="16">
        <v>1</v>
      </c>
      <c r="G120" s="16" t="s">
        <v>40</v>
      </c>
      <c r="H120" s="16" t="s">
        <v>31</v>
      </c>
      <c r="I120" s="16" t="s">
        <v>32</v>
      </c>
    </row>
    <row r="121" ht="15" customHeight="1">
      <c r="B121" s="24">
        <v>46037</v>
      </c>
      <c r="C121" s="28">
        <v>2.7834699453551912</v>
      </c>
      <c r="D121" s="1" t="s">
        <v>38</v>
      </c>
      <c r="E121" s="1" t="s">
        <v>39</v>
      </c>
      <c r="F121" s="16">
        <v>1</v>
      </c>
      <c r="G121" s="16" t="s">
        <v>40</v>
      </c>
      <c r="H121" s="16" t="s">
        <v>31</v>
      </c>
      <c r="I121" s="16" t="s">
        <v>32</v>
      </c>
    </row>
    <row r="122" ht="15" customHeight="1">
      <c r="B122" s="24">
        <v>46044</v>
      </c>
      <c r="C122" s="28">
        <v>2.8310469314079421</v>
      </c>
      <c r="D122" s="1" t="s">
        <v>38</v>
      </c>
      <c r="E122" s="1" t="s">
        <v>39</v>
      </c>
      <c r="F122" s="16">
        <v>1</v>
      </c>
      <c r="G122" s="16" t="s">
        <v>40</v>
      </c>
      <c r="H122" s="16" t="s">
        <v>31</v>
      </c>
      <c r="I122" s="16" t="s">
        <v>32</v>
      </c>
    </row>
    <row r="123" ht="15" customHeight="1">
      <c r="B123" s="24">
        <v>46051</v>
      </c>
      <c r="C123" s="28">
        <v>3.0996835443037973</v>
      </c>
      <c r="D123" s="1" t="s">
        <v>38</v>
      </c>
      <c r="E123" s="1" t="s">
        <v>39</v>
      </c>
      <c r="F123" s="16">
        <v>1</v>
      </c>
      <c r="G123" s="16" t="s">
        <v>40</v>
      </c>
      <c r="H123" s="16" t="s">
        <v>31</v>
      </c>
      <c r="I123" s="16" t="s">
        <v>32</v>
      </c>
    </row>
    <row r="124" ht="15" customHeight="1">
      <c r="B124" s="24">
        <v>46058</v>
      </c>
      <c r="C124" s="28">
        <v>3.6688230584467569</v>
      </c>
      <c r="D124" s="1" t="s">
        <v>38</v>
      </c>
      <c r="E124" s="1" t="s">
        <v>39</v>
      </c>
      <c r="F124" s="16">
        <v>1</v>
      </c>
      <c r="G124" s="16" t="s">
        <v>40</v>
      </c>
      <c r="H124" s="16" t="s">
        <v>31</v>
      </c>
      <c r="I124" s="16" t="s">
        <v>32</v>
      </c>
    </row>
    <row r="125" ht="15" customHeight="1">
      <c r="B125" s="24">
        <v>46065</v>
      </c>
      <c r="C125" s="28">
        <v>3.8831677524429971</v>
      </c>
      <c r="D125" s="1" t="s">
        <v>38</v>
      </c>
      <c r="E125" s="1" t="s">
        <v>39</v>
      </c>
      <c r="F125" s="16">
        <v>1</v>
      </c>
      <c r="G125" s="16" t="s">
        <v>40</v>
      </c>
      <c r="H125" s="16" t="s">
        <v>31</v>
      </c>
      <c r="I125" s="16" t="s">
        <v>32</v>
      </c>
    </row>
    <row r="126" ht="15" customHeight="1">
      <c r="B126" s="24">
        <v>46072</v>
      </c>
      <c r="C126" s="28">
        <v>3.9102680965147454</v>
      </c>
      <c r="D126" s="1" t="s">
        <v>38</v>
      </c>
      <c r="E126" s="1" t="s">
        <v>39</v>
      </c>
      <c r="F126" s="16">
        <v>1</v>
      </c>
      <c r="G126" s="16" t="s">
        <v>40</v>
      </c>
      <c r="H126" s="16" t="s">
        <v>31</v>
      </c>
      <c r="I126" s="16" t="s">
        <v>32</v>
      </c>
    </row>
    <row r="127" ht="15" customHeight="1">
      <c r="B127" s="24">
        <v>46079</v>
      </c>
      <c r="C127" s="28">
        <v>3.9313346228239845</v>
      </c>
      <c r="D127" s="1" t="s">
        <v>38</v>
      </c>
      <c r="E127" s="1" t="s">
        <v>39</v>
      </c>
      <c r="F127" s="16">
        <v>1</v>
      </c>
      <c r="G127" s="16" t="s">
        <v>40</v>
      </c>
      <c r="H127" s="16" t="s">
        <v>31</v>
      </c>
      <c r="I127" s="16" t="s">
        <v>32</v>
      </c>
    </row>
    <row r="128" ht="15" customHeight="1">
      <c r="B128" s="24">
        <v>46086</v>
      </c>
      <c r="C128" s="28">
        <v>4.0031088082901558</v>
      </c>
      <c r="D128" s="1" t="s">
        <v>38</v>
      </c>
      <c r="E128" s="1" t="s">
        <v>39</v>
      </c>
      <c r="F128" s="16">
        <v>1</v>
      </c>
      <c r="G128" s="16" t="s">
        <v>40</v>
      </c>
      <c r="H128" s="16" t="s">
        <v>31</v>
      </c>
      <c r="I128" s="16" t="s">
        <v>32</v>
      </c>
    </row>
    <row r="129" ht="15" customHeight="1">
      <c r="B129" s="24">
        <v>46093</v>
      </c>
      <c r="C129" s="28">
        <v>4.2475355969331874</v>
      </c>
      <c r="D129" s="1" t="s">
        <v>38</v>
      </c>
      <c r="E129" s="1" t="s">
        <v>39</v>
      </c>
      <c r="F129" s="16">
        <v>1</v>
      </c>
      <c r="G129" s="16" t="s">
        <v>40</v>
      </c>
      <c r="H129" s="16" t="s">
        <v>31</v>
      </c>
      <c r="I129" s="16" t="s">
        <v>32</v>
      </c>
    </row>
    <row r="130" ht="15" customHeight="1">
      <c r="B130" s="24">
        <v>46100</v>
      </c>
      <c r="C130" s="28">
        <v>3.732408325074331</v>
      </c>
      <c r="D130" s="1" t="s">
        <v>38</v>
      </c>
      <c r="E130" s="1" t="s">
        <v>39</v>
      </c>
      <c r="F130" s="16">
        <v>1</v>
      </c>
      <c r="G130" s="16" t="s">
        <v>40</v>
      </c>
      <c r="H130" s="16" t="s">
        <v>31</v>
      </c>
      <c r="I130" s="16" t="s">
        <v>32</v>
      </c>
    </row>
    <row r="131" ht="15" customHeight="1">
      <c r="B131" s="24">
        <v>46107</v>
      </c>
      <c r="C131" s="28">
        <v>4.2774755168661587</v>
      </c>
      <c r="D131" s="1" t="s">
        <v>38</v>
      </c>
      <c r="E131" s="1" t="s">
        <v>39</v>
      </c>
      <c r="F131" s="16">
        <v>1</v>
      </c>
      <c r="G131" s="16" t="s">
        <v>40</v>
      </c>
      <c r="H131" s="16" t="s">
        <v>31</v>
      </c>
      <c r="I131" s="16" t="s">
        <v>32</v>
      </c>
    </row>
    <row r="132" ht="15" customHeight="1">
      <c r="B132" s="24">
        <v>46114</v>
      </c>
      <c r="C132" s="28">
        <v>4.2339707536557931</v>
      </c>
      <c r="D132" s="1" t="s">
        <v>38</v>
      </c>
      <c r="E132" s="1" t="s">
        <v>39</v>
      </c>
      <c r="F132" s="16">
        <v>1</v>
      </c>
      <c r="G132" s="16" t="s">
        <v>40</v>
      </c>
      <c r="H132" s="16" t="s">
        <v>31</v>
      </c>
      <c r="I132" s="16" t="s">
        <v>32</v>
      </c>
    </row>
    <row r="133" ht="15" customHeight="1">
      <c r="B133" s="24">
        <v>46121</v>
      </c>
      <c r="C133" s="28">
        <v>3.6800748362956033</v>
      </c>
      <c r="D133" s="1" t="s">
        <v>38</v>
      </c>
      <c r="E133" s="1" t="s">
        <v>39</v>
      </c>
      <c r="F133" s="16">
        <v>1</v>
      </c>
      <c r="G133" s="16" t="s">
        <v>40</v>
      </c>
      <c r="H133" s="16" t="s">
        <v>31</v>
      </c>
      <c r="I133" s="16" t="s">
        <v>32</v>
      </c>
    </row>
    <row r="134" ht="15" customHeight="1">
      <c r="B134" s="24">
        <v>45897</v>
      </c>
      <c r="C134" s="28">
        <v>3.1382140173559439</v>
      </c>
      <c r="D134" s="1" t="s">
        <v>41</v>
      </c>
      <c r="E134" s="1" t="s">
        <v>42</v>
      </c>
      <c r="F134" s="16">
        <v>1</v>
      </c>
      <c r="G134" s="16" t="s">
        <v>43</v>
      </c>
      <c r="H134" s="16" t="s">
        <v>31</v>
      </c>
      <c r="I134" s="16" t="s">
        <v>32</v>
      </c>
    </row>
    <row r="135" ht="15" customHeight="1">
      <c r="B135" s="24">
        <v>45904</v>
      </c>
      <c r="C135" s="28">
        <v>3.2756227628022501</v>
      </c>
      <c r="D135" s="1" t="s">
        <v>41</v>
      </c>
      <c r="E135" s="1" t="s">
        <v>42</v>
      </c>
      <c r="F135" s="16">
        <v>1</v>
      </c>
      <c r="G135" s="16" t="s">
        <v>43</v>
      </c>
      <c r="H135" s="16" t="s">
        <v>31</v>
      </c>
      <c r="I135" s="16" t="s">
        <v>32</v>
      </c>
    </row>
    <row r="136" ht="15" customHeight="1">
      <c r="B136" s="24">
        <v>45911</v>
      </c>
      <c r="C136" s="28">
        <v>2.7303653741366363</v>
      </c>
      <c r="D136" s="1" t="s">
        <v>41</v>
      </c>
      <c r="E136" s="1" t="s">
        <v>42</v>
      </c>
      <c r="F136" s="16">
        <v>1</v>
      </c>
      <c r="G136" s="16" t="s">
        <v>43</v>
      </c>
      <c r="H136" s="16" t="s">
        <v>31</v>
      </c>
      <c r="I136" s="16" t="s">
        <v>32</v>
      </c>
    </row>
    <row r="137" ht="15" customHeight="1">
      <c r="B137" s="24">
        <v>45918</v>
      </c>
      <c r="C137" s="28">
        <v>2.7194532132410436</v>
      </c>
      <c r="D137" s="1" t="s">
        <v>41</v>
      </c>
      <c r="E137" s="1" t="s">
        <v>42</v>
      </c>
      <c r="F137" s="16">
        <v>1</v>
      </c>
      <c r="G137" s="16" t="s">
        <v>43</v>
      </c>
      <c r="H137" s="16" t="s">
        <v>31</v>
      </c>
      <c r="I137" s="16" t="s">
        <v>32</v>
      </c>
    </row>
    <row r="138" ht="15" customHeight="1">
      <c r="B138" s="24">
        <v>45925</v>
      </c>
      <c r="C138" s="28">
        <v>3.2892069591581321</v>
      </c>
      <c r="D138" s="1" t="s">
        <v>41</v>
      </c>
      <c r="E138" s="1" t="s">
        <v>42</v>
      </c>
      <c r="F138" s="16">
        <v>1</v>
      </c>
      <c r="G138" s="16" t="s">
        <v>43</v>
      </c>
      <c r="H138" s="16" t="s">
        <v>31</v>
      </c>
      <c r="I138" s="16" t="s">
        <v>32</v>
      </c>
    </row>
    <row r="139" ht="15" customHeight="1">
      <c r="B139" s="24">
        <v>45932</v>
      </c>
      <c r="C139" s="28">
        <v>2.9816913687881428</v>
      </c>
      <c r="D139" s="1" t="s">
        <v>41</v>
      </c>
      <c r="E139" s="1" t="s">
        <v>42</v>
      </c>
      <c r="F139" s="16">
        <v>1</v>
      </c>
      <c r="G139" s="16" t="s">
        <v>43</v>
      </c>
      <c r="H139" s="16" t="s">
        <v>31</v>
      </c>
      <c r="I139" s="16" t="s">
        <v>32</v>
      </c>
    </row>
    <row r="140" ht="15" customHeight="1">
      <c r="B140" s="24">
        <v>45939</v>
      </c>
      <c r="C140" s="28">
        <v>2.8400416377515612</v>
      </c>
      <c r="D140" s="1" t="s">
        <v>41</v>
      </c>
      <c r="E140" s="1" t="s">
        <v>42</v>
      </c>
      <c r="F140" s="16">
        <v>1</v>
      </c>
      <c r="G140" s="16" t="s">
        <v>43</v>
      </c>
      <c r="H140" s="16" t="s">
        <v>31</v>
      </c>
      <c r="I140" s="16" t="s">
        <v>32</v>
      </c>
    </row>
    <row r="141" ht="15" customHeight="1">
      <c r="B141" s="24">
        <v>45946</v>
      </c>
      <c r="C141" s="28">
        <v>2.7733686836092168</v>
      </c>
      <c r="D141" s="1" t="s">
        <v>41</v>
      </c>
      <c r="E141" s="1" t="s">
        <v>42</v>
      </c>
      <c r="F141" s="16">
        <v>1</v>
      </c>
      <c r="G141" s="16" t="s">
        <v>43</v>
      </c>
      <c r="H141" s="16" t="s">
        <v>31</v>
      </c>
      <c r="I141" s="16" t="s">
        <v>32</v>
      </c>
    </row>
    <row r="142" ht="15" customHeight="1">
      <c r="B142" s="24">
        <v>45953</v>
      </c>
      <c r="C142" s="28">
        <v>2.9374268699463855</v>
      </c>
      <c r="D142" s="1" t="s">
        <v>41</v>
      </c>
      <c r="E142" s="1" t="s">
        <v>42</v>
      </c>
      <c r="F142" s="16">
        <v>1</v>
      </c>
      <c r="G142" s="16" t="s">
        <v>43</v>
      </c>
      <c r="H142" s="16" t="s">
        <v>31</v>
      </c>
      <c r="I142" s="16" t="s">
        <v>32</v>
      </c>
    </row>
    <row r="143" ht="15" customHeight="1">
      <c r="B143" s="24">
        <v>45960</v>
      </c>
      <c r="C143" s="28">
        <v>3.132497220542628</v>
      </c>
      <c r="D143" s="1" t="s">
        <v>41</v>
      </c>
      <c r="E143" s="1" t="s">
        <v>42</v>
      </c>
      <c r="F143" s="16">
        <v>1</v>
      </c>
      <c r="G143" s="16" t="s">
        <v>43</v>
      </c>
      <c r="H143" s="16" t="s">
        <v>31</v>
      </c>
      <c r="I143" s="16" t="s">
        <v>32</v>
      </c>
    </row>
    <row r="144" ht="15" customHeight="1">
      <c r="B144" s="24">
        <v>45967</v>
      </c>
      <c r="C144" s="28">
        <v>3.4090909090909087</v>
      </c>
      <c r="D144" s="1" t="s">
        <v>41</v>
      </c>
      <c r="E144" s="1" t="s">
        <v>42</v>
      </c>
      <c r="F144" s="16">
        <v>1</v>
      </c>
      <c r="G144" s="16" t="s">
        <v>43</v>
      </c>
      <c r="H144" s="16" t="s">
        <v>31</v>
      </c>
      <c r="I144" s="16" t="s">
        <v>32</v>
      </c>
    </row>
    <row r="145" ht="15" customHeight="1">
      <c r="B145" s="24">
        <v>45974</v>
      </c>
      <c r="C145" s="28">
        <v>2.9072490923995784</v>
      </c>
      <c r="D145" s="1" t="s">
        <v>41</v>
      </c>
      <c r="E145" s="1" t="s">
        <v>42</v>
      </c>
      <c r="F145" s="16">
        <v>1</v>
      </c>
      <c r="G145" s="16" t="s">
        <v>43</v>
      </c>
      <c r="H145" s="16" t="s">
        <v>31</v>
      </c>
      <c r="I145" s="16" t="s">
        <v>32</v>
      </c>
    </row>
    <row r="146" ht="15" customHeight="1">
      <c r="B146" s="24">
        <v>45981</v>
      </c>
      <c r="C146" s="28">
        <v>2.837806095484174</v>
      </c>
      <c r="D146" s="1" t="s">
        <v>41</v>
      </c>
      <c r="E146" s="1" t="s">
        <v>42</v>
      </c>
      <c r="F146" s="16">
        <v>1</v>
      </c>
      <c r="G146" s="16" t="s">
        <v>43</v>
      </c>
      <c r="H146" s="16" t="s">
        <v>31</v>
      </c>
      <c r="I146" s="16" t="s">
        <v>32</v>
      </c>
    </row>
    <row r="147" ht="15" customHeight="1">
      <c r="B147" s="24">
        <v>45988</v>
      </c>
      <c r="C147" s="28">
        <v>2.5038417617120867</v>
      </c>
      <c r="D147" s="1" t="s">
        <v>41</v>
      </c>
      <c r="E147" s="1" t="s">
        <v>42</v>
      </c>
      <c r="F147" s="16">
        <v>1</v>
      </c>
      <c r="G147" s="16" t="s">
        <v>43</v>
      </c>
      <c r="H147" s="16" t="s">
        <v>31</v>
      </c>
      <c r="I147" s="16" t="s">
        <v>32</v>
      </c>
    </row>
    <row r="148" ht="15" customHeight="1">
      <c r="B148" s="24">
        <v>45995</v>
      </c>
      <c r="C148" s="28">
        <v>2.2068492367503287</v>
      </c>
      <c r="D148" s="1" t="s">
        <v>41</v>
      </c>
      <c r="E148" s="1" t="s">
        <v>42</v>
      </c>
      <c r="F148" s="16">
        <v>1</v>
      </c>
      <c r="G148" s="16" t="s">
        <v>43</v>
      </c>
      <c r="H148" s="16" t="s">
        <v>31</v>
      </c>
      <c r="I148" s="16" t="s">
        <v>32</v>
      </c>
    </row>
    <row r="149" ht="15" customHeight="1">
      <c r="B149" s="24">
        <v>46002</v>
      </c>
      <c r="C149" s="28">
        <v>2.1318523826585452</v>
      </c>
      <c r="D149" s="1" t="s">
        <v>41</v>
      </c>
      <c r="E149" s="1" t="s">
        <v>42</v>
      </c>
      <c r="F149" s="16">
        <v>1</v>
      </c>
      <c r="G149" s="16" t="s">
        <v>43</v>
      </c>
      <c r="H149" s="16" t="s">
        <v>31</v>
      </c>
      <c r="I149" s="16" t="s">
        <v>32</v>
      </c>
    </row>
    <row r="150" ht="15" customHeight="1">
      <c r="B150" s="24">
        <v>46009</v>
      </c>
      <c r="C150" s="28">
        <v>4.0936533647474596</v>
      </c>
      <c r="D150" s="1" t="s">
        <v>41</v>
      </c>
      <c r="E150" s="1" t="s">
        <v>42</v>
      </c>
      <c r="F150" s="16">
        <v>1</v>
      </c>
      <c r="G150" s="16" t="s">
        <v>43</v>
      </c>
      <c r="H150" s="16" t="s">
        <v>31</v>
      </c>
      <c r="I150" s="16" t="s">
        <v>32</v>
      </c>
    </row>
    <row r="151" ht="15" customHeight="1">
      <c r="B151" s="24">
        <v>46016</v>
      </c>
      <c r="C151" s="28">
        <v>4.1897033782505417</v>
      </c>
      <c r="D151" s="1" t="s">
        <v>41</v>
      </c>
      <c r="E151" s="1" t="s">
        <v>42</v>
      </c>
      <c r="F151" s="16">
        <v>1</v>
      </c>
      <c r="G151" s="16" t="s">
        <v>43</v>
      </c>
      <c r="H151" s="16" t="s">
        <v>31</v>
      </c>
      <c r="I151" s="16" t="s">
        <v>32</v>
      </c>
    </row>
    <row r="152" ht="15" customHeight="1">
      <c r="B152" s="24">
        <v>46037</v>
      </c>
      <c r="C152" s="28">
        <v>4.3614913339558612</v>
      </c>
      <c r="D152" s="1" t="s">
        <v>41</v>
      </c>
      <c r="E152" s="1" t="s">
        <v>42</v>
      </c>
      <c r="F152" s="16">
        <v>1</v>
      </c>
      <c r="G152" s="16" t="s">
        <v>43</v>
      </c>
      <c r="H152" s="16" t="s">
        <v>31</v>
      </c>
      <c r="I152" s="16" t="s">
        <v>32</v>
      </c>
    </row>
    <row r="153" ht="15" customHeight="1">
      <c r="B153" s="24">
        <v>46044</v>
      </c>
      <c r="C153" s="28">
        <v>3.8925067658998649</v>
      </c>
      <c r="D153" s="1" t="s">
        <v>41</v>
      </c>
      <c r="E153" s="1" t="s">
        <v>42</v>
      </c>
      <c r="F153" s="16">
        <v>1</v>
      </c>
      <c r="G153" s="16" t="s">
        <v>43</v>
      </c>
      <c r="H153" s="16" t="s">
        <v>31</v>
      </c>
      <c r="I153" s="16" t="s">
        <v>32</v>
      </c>
    </row>
    <row r="154" ht="15" customHeight="1">
      <c r="B154" s="24">
        <v>46051</v>
      </c>
      <c r="C154" s="28">
        <v>3.5422054521558484</v>
      </c>
      <c r="D154" s="1" t="s">
        <v>41</v>
      </c>
      <c r="E154" s="1" t="s">
        <v>42</v>
      </c>
      <c r="F154" s="16">
        <v>1</v>
      </c>
      <c r="G154" s="16" t="s">
        <v>43</v>
      </c>
      <c r="H154" s="16" t="s">
        <v>31</v>
      </c>
      <c r="I154" s="16" t="s">
        <v>32</v>
      </c>
    </row>
    <row r="155" ht="15" customHeight="1">
      <c r="B155" s="24">
        <v>46058</v>
      </c>
      <c r="C155" s="28">
        <v>3.2970267883426549</v>
      </c>
      <c r="D155" s="1" t="s">
        <v>41</v>
      </c>
      <c r="E155" s="1" t="s">
        <v>42</v>
      </c>
      <c r="F155" s="16">
        <v>1</v>
      </c>
      <c r="G155" s="16" t="s">
        <v>43</v>
      </c>
      <c r="H155" s="16" t="s">
        <v>31</v>
      </c>
      <c r="I155" s="16" t="s">
        <v>32</v>
      </c>
    </row>
    <row r="156" ht="15" customHeight="1">
      <c r="B156" s="24">
        <v>46065</v>
      </c>
      <c r="C156" s="28">
        <v>3.2176443301142834</v>
      </c>
      <c r="D156" s="1" t="s">
        <v>41</v>
      </c>
      <c r="E156" s="1" t="s">
        <v>42</v>
      </c>
      <c r="F156" s="16">
        <v>1</v>
      </c>
      <c r="G156" s="16" t="s">
        <v>43</v>
      </c>
      <c r="H156" s="16" t="s">
        <v>31</v>
      </c>
      <c r="I156" s="16" t="s">
        <v>32</v>
      </c>
    </row>
    <row r="157" ht="15" customHeight="1">
      <c r="B157" s="24">
        <v>46072</v>
      </c>
      <c r="C157" s="28">
        <v>2.8854518065898627</v>
      </c>
      <c r="D157" s="1" t="s">
        <v>41</v>
      </c>
      <c r="E157" s="1" t="s">
        <v>42</v>
      </c>
      <c r="F157" s="16">
        <v>1</v>
      </c>
      <c r="G157" s="16" t="s">
        <v>43</v>
      </c>
      <c r="H157" s="16" t="s">
        <v>31</v>
      </c>
      <c r="I157" s="16" t="s">
        <v>32</v>
      </c>
    </row>
    <row r="158" ht="15" customHeight="1">
      <c r="B158" s="24">
        <v>46079</v>
      </c>
      <c r="C158" s="28">
        <v>2.7814288742845026</v>
      </c>
      <c r="D158" s="1" t="s">
        <v>41</v>
      </c>
      <c r="E158" s="1" t="s">
        <v>42</v>
      </c>
      <c r="F158" s="16">
        <v>1</v>
      </c>
      <c r="G158" s="16" t="s">
        <v>43</v>
      </c>
      <c r="H158" s="16" t="s">
        <v>31</v>
      </c>
      <c r="I158" s="16" t="s">
        <v>32</v>
      </c>
    </row>
    <row r="159" ht="15" customHeight="1">
      <c r="B159" s="24">
        <v>46086</v>
      </c>
      <c r="C159" s="28">
        <v>2.7144914034047596</v>
      </c>
      <c r="D159" s="1" t="s">
        <v>41</v>
      </c>
      <c r="E159" s="1" t="s">
        <v>42</v>
      </c>
      <c r="F159" s="16">
        <v>1</v>
      </c>
      <c r="G159" s="16" t="s">
        <v>43</v>
      </c>
      <c r="H159" s="16" t="s">
        <v>31</v>
      </c>
      <c r="I159" s="16" t="s">
        <v>32</v>
      </c>
    </row>
    <row r="160" ht="15" customHeight="1">
      <c r="B160" s="24">
        <v>46093</v>
      </c>
      <c r="C160" s="28">
        <v>2.5699490698318663</v>
      </c>
      <c r="D160" s="1" t="s">
        <v>41</v>
      </c>
      <c r="E160" s="1" t="s">
        <v>42</v>
      </c>
      <c r="F160" s="16">
        <v>1</v>
      </c>
      <c r="G160" s="16" t="s">
        <v>43</v>
      </c>
      <c r="H160" s="16" t="s">
        <v>31</v>
      </c>
      <c r="I160" s="16" t="s">
        <v>32</v>
      </c>
    </row>
    <row r="161" ht="15" customHeight="1">
      <c r="B161" s="24">
        <v>46100</v>
      </c>
      <c r="C161" s="28">
        <v>2.8979686740366528</v>
      </c>
      <c r="D161" s="1" t="s">
        <v>41</v>
      </c>
      <c r="E161" s="1" t="s">
        <v>42</v>
      </c>
      <c r="F161" s="16">
        <v>1</v>
      </c>
      <c r="G161" s="16" t="s">
        <v>43</v>
      </c>
      <c r="H161" s="16" t="s">
        <v>31</v>
      </c>
      <c r="I161" s="16" t="s">
        <v>32</v>
      </c>
    </row>
    <row r="162" ht="15" customHeight="1">
      <c r="B162" s="24">
        <v>46107</v>
      </c>
      <c r="C162" s="28">
        <v>2.687156232942856</v>
      </c>
      <c r="D162" s="1" t="s">
        <v>41</v>
      </c>
      <c r="E162" s="1" t="s">
        <v>42</v>
      </c>
      <c r="F162" s="16">
        <v>1</v>
      </c>
      <c r="G162" s="16" t="s">
        <v>43</v>
      </c>
      <c r="H162" s="16" t="s">
        <v>31</v>
      </c>
      <c r="I162" s="16" t="s">
        <v>32</v>
      </c>
    </row>
    <row r="163" ht="15" customHeight="1">
      <c r="B163" s="24">
        <v>46114</v>
      </c>
      <c r="C163" s="28">
        <v>2.534100731558198</v>
      </c>
      <c r="D163" s="1" t="s">
        <v>41</v>
      </c>
      <c r="E163" s="1" t="s">
        <v>42</v>
      </c>
      <c r="F163" s="16">
        <v>1</v>
      </c>
      <c r="G163" s="16" t="s">
        <v>43</v>
      </c>
      <c r="H163" s="16" t="s">
        <v>31</v>
      </c>
      <c r="I163" s="16" t="s">
        <v>32</v>
      </c>
    </row>
    <row r="164" ht="15" customHeight="1">
      <c r="B164" s="24">
        <v>46121</v>
      </c>
      <c r="C164" s="28">
        <v>2.9754477974919111</v>
      </c>
      <c r="D164" s="1" t="s">
        <v>41</v>
      </c>
      <c r="E164" s="1" t="s">
        <v>42</v>
      </c>
      <c r="F164" s="16">
        <v>1</v>
      </c>
      <c r="G164" s="16" t="s">
        <v>43</v>
      </c>
      <c r="H164" s="16" t="s">
        <v>31</v>
      </c>
      <c r="I164" s="16" t="s">
        <v>32</v>
      </c>
    </row>
    <row r="165" ht="15" customHeight="1">
      <c r="B165" s="24">
        <v>45897</v>
      </c>
      <c r="C165" s="28">
        <v>20.52401746724891</v>
      </c>
      <c r="D165" s="1" t="s">
        <v>44</v>
      </c>
      <c r="E165" s="1" t="s">
        <v>45</v>
      </c>
      <c r="F165" s="16">
        <v>3</v>
      </c>
      <c r="G165" s="16" t="s">
        <v>43</v>
      </c>
      <c r="H165" s="16" t="s">
        <v>31</v>
      </c>
      <c r="I165" s="16" t="s">
        <v>32</v>
      </c>
      <c r="K165" s="1" t="s">
        <v>46</v>
      </c>
    </row>
    <row r="166" ht="15" customHeight="1">
      <c r="B166" s="24">
        <v>45904</v>
      </c>
      <c r="C166" s="28">
        <v>22.194513715710723</v>
      </c>
      <c r="D166" s="1" t="s">
        <v>44</v>
      </c>
      <c r="E166" s="1" t="s">
        <v>45</v>
      </c>
      <c r="F166" s="16">
        <v>3</v>
      </c>
      <c r="G166" s="16" t="s">
        <v>43</v>
      </c>
      <c r="H166" s="16" t="s">
        <v>31</v>
      </c>
      <c r="I166" s="16" t="s">
        <v>32</v>
      </c>
      <c r="J166" s="1"/>
      <c r="K166" s="1" t="s">
        <v>46</v>
      </c>
    </row>
    <row r="167" ht="15" customHeight="1">
      <c r="B167" s="24">
        <v>45911</v>
      </c>
      <c r="C167" s="28">
        <v>22.866476112699061</v>
      </c>
      <c r="D167" s="1" t="s">
        <v>44</v>
      </c>
      <c r="E167" s="1" t="s">
        <v>45</v>
      </c>
      <c r="F167" s="16">
        <v>3</v>
      </c>
      <c r="G167" s="16" t="s">
        <v>43</v>
      </c>
      <c r="H167" s="16" t="s">
        <v>31</v>
      </c>
      <c r="I167" s="16" t="s">
        <v>32</v>
      </c>
      <c r="J167" s="1"/>
      <c r="K167" s="1" t="s">
        <v>46</v>
      </c>
    </row>
    <row r="168" ht="15" customHeight="1">
      <c r="B168" s="24">
        <v>45918</v>
      </c>
      <c r="C168" s="28">
        <v>19.373454245671887</v>
      </c>
      <c r="D168" s="1" t="s">
        <v>44</v>
      </c>
      <c r="E168" s="1" t="s">
        <v>45</v>
      </c>
      <c r="F168" s="16">
        <v>3</v>
      </c>
      <c r="G168" s="16" t="s">
        <v>43</v>
      </c>
      <c r="H168" s="16" t="s">
        <v>31</v>
      </c>
      <c r="I168" s="16" t="s">
        <v>32</v>
      </c>
      <c r="J168" s="1"/>
      <c r="K168" s="1" t="s">
        <v>46</v>
      </c>
    </row>
    <row r="169" ht="15" customHeight="1">
      <c r="B169" s="24">
        <v>45925</v>
      </c>
      <c r="C169" s="28">
        <v>20.268620268620268</v>
      </c>
      <c r="D169" s="1" t="s">
        <v>44</v>
      </c>
      <c r="E169" s="1" t="s">
        <v>45</v>
      </c>
      <c r="F169" s="16">
        <v>3</v>
      </c>
      <c r="G169" s="16" t="s">
        <v>43</v>
      </c>
      <c r="H169" s="16" t="s">
        <v>31</v>
      </c>
      <c r="I169" s="16" t="s">
        <v>32</v>
      </c>
      <c r="J169" s="1"/>
      <c r="K169" s="1" t="s">
        <v>46</v>
      </c>
    </row>
    <row r="170" ht="15" customHeight="1">
      <c r="B170" s="24">
        <v>45932</v>
      </c>
      <c r="C170" s="28">
        <v>20.718232044198896</v>
      </c>
      <c r="D170" s="1" t="s">
        <v>44</v>
      </c>
      <c r="E170" s="1" t="s">
        <v>45</v>
      </c>
      <c r="F170" s="16">
        <v>3</v>
      </c>
      <c r="G170" s="16" t="s">
        <v>43</v>
      </c>
      <c r="H170" s="16" t="s">
        <v>31</v>
      </c>
      <c r="I170" s="16" t="s">
        <v>32</v>
      </c>
      <c r="J170" s="1"/>
      <c r="K170" s="1" t="s">
        <v>46</v>
      </c>
    </row>
    <row r="171" ht="15" customHeight="1">
      <c r="B171" s="24">
        <v>45939</v>
      </c>
      <c r="C171" s="28">
        <v>18.128654970760234</v>
      </c>
      <c r="D171" s="1" t="s">
        <v>44</v>
      </c>
      <c r="E171" s="1" t="s">
        <v>45</v>
      </c>
      <c r="F171" s="16">
        <v>3</v>
      </c>
      <c r="G171" s="16" t="s">
        <v>43</v>
      </c>
      <c r="H171" s="16" t="s">
        <v>31</v>
      </c>
      <c r="I171" s="16" t="s">
        <v>32</v>
      </c>
      <c r="J171" s="1"/>
      <c r="K171" s="1" t="s">
        <v>46</v>
      </c>
    </row>
    <row r="172" ht="15" customHeight="1">
      <c r="B172" s="24">
        <v>45946</v>
      </c>
      <c r="C172" s="28">
        <v>19.519752130131682</v>
      </c>
      <c r="D172" s="1" t="s">
        <v>44</v>
      </c>
      <c r="E172" s="1" t="s">
        <v>45</v>
      </c>
      <c r="F172" s="16">
        <v>3</v>
      </c>
      <c r="G172" s="16" t="s">
        <v>43</v>
      </c>
      <c r="H172" s="16" t="s">
        <v>31</v>
      </c>
      <c r="I172" s="16" t="s">
        <v>32</v>
      </c>
      <c r="J172" s="1"/>
      <c r="K172" s="1" t="s">
        <v>46</v>
      </c>
    </row>
    <row r="173" ht="15" customHeight="1">
      <c r="B173" s="24">
        <v>45953</v>
      </c>
      <c r="C173" s="28">
        <v>19.357462383082556</v>
      </c>
      <c r="D173" s="1" t="s">
        <v>44</v>
      </c>
      <c r="E173" s="1" t="s">
        <v>45</v>
      </c>
      <c r="F173" s="16">
        <v>3</v>
      </c>
      <c r="G173" s="16" t="s">
        <v>43</v>
      </c>
      <c r="H173" s="16" t="s">
        <v>31</v>
      </c>
      <c r="I173" s="16" t="s">
        <v>32</v>
      </c>
      <c r="J173" s="1"/>
      <c r="K173" s="1" t="s">
        <v>46</v>
      </c>
    </row>
    <row r="174" ht="15" customHeight="1">
      <c r="B174" s="24">
        <v>45960</v>
      </c>
      <c r="C174" s="28">
        <v>20.065654493229381</v>
      </c>
      <c r="D174" s="1" t="s">
        <v>44</v>
      </c>
      <c r="E174" s="1" t="s">
        <v>45</v>
      </c>
      <c r="F174" s="16">
        <v>3</v>
      </c>
      <c r="G174" s="16" t="s">
        <v>43</v>
      </c>
      <c r="H174" s="16" t="s">
        <v>31</v>
      </c>
      <c r="I174" s="16" t="s">
        <v>32</v>
      </c>
      <c r="J174" s="1"/>
      <c r="K174" s="1" t="s">
        <v>46</v>
      </c>
    </row>
    <row r="175" ht="15" customHeight="1">
      <c r="B175" s="24">
        <v>45967</v>
      </c>
      <c r="C175" s="28">
        <v>20.471333098839253</v>
      </c>
      <c r="D175" s="1" t="s">
        <v>44</v>
      </c>
      <c r="E175" s="1" t="s">
        <v>45</v>
      </c>
      <c r="F175" s="16">
        <v>3</v>
      </c>
      <c r="G175" s="16" t="s">
        <v>43</v>
      </c>
      <c r="H175" s="16" t="s">
        <v>31</v>
      </c>
      <c r="I175" s="16" t="s">
        <v>32</v>
      </c>
      <c r="J175" s="1"/>
      <c r="K175" s="1" t="s">
        <v>46</v>
      </c>
    </row>
    <row r="176" ht="15" customHeight="1">
      <c r="B176" s="24">
        <v>45974</v>
      </c>
      <c r="C176" s="28">
        <v>21.08057464084947</v>
      </c>
      <c r="D176" s="1" t="s">
        <v>44</v>
      </c>
      <c r="E176" s="1" t="s">
        <v>45</v>
      </c>
      <c r="F176" s="16">
        <v>3</v>
      </c>
      <c r="G176" s="16" t="s">
        <v>43</v>
      </c>
      <c r="H176" s="16" t="s">
        <v>31</v>
      </c>
      <c r="I176" s="16" t="s">
        <v>32</v>
      </c>
      <c r="J176" s="1"/>
      <c r="K176" s="1" t="s">
        <v>46</v>
      </c>
    </row>
    <row r="177" ht="15" customHeight="1">
      <c r="B177" s="24">
        <v>45981</v>
      </c>
      <c r="C177" s="28">
        <v>20.75530586766542</v>
      </c>
      <c r="D177" s="1" t="s">
        <v>44</v>
      </c>
      <c r="E177" s="1" t="s">
        <v>45</v>
      </c>
      <c r="F177" s="16">
        <v>3</v>
      </c>
      <c r="G177" s="16" t="s">
        <v>43</v>
      </c>
      <c r="H177" s="16" t="s">
        <v>31</v>
      </c>
      <c r="I177" s="16" t="s">
        <v>32</v>
      </c>
      <c r="J177" s="1"/>
      <c r="K177" s="1" t="s">
        <v>46</v>
      </c>
    </row>
    <row r="178" ht="15" customHeight="1">
      <c r="B178" s="24">
        <v>45988</v>
      </c>
      <c r="C178" s="28">
        <v>19.808108944599194</v>
      </c>
      <c r="D178" s="1" t="s">
        <v>44</v>
      </c>
      <c r="E178" s="1" t="s">
        <v>45</v>
      </c>
      <c r="F178" s="16">
        <v>3</v>
      </c>
      <c r="G178" s="16" t="s">
        <v>43</v>
      </c>
      <c r="H178" s="16" t="s">
        <v>31</v>
      </c>
      <c r="I178" s="16" t="s">
        <v>32</v>
      </c>
      <c r="J178" s="1"/>
      <c r="K178" s="1" t="s">
        <v>46</v>
      </c>
    </row>
    <row r="179" ht="15" customHeight="1">
      <c r="B179" s="24">
        <v>45995</v>
      </c>
      <c r="C179" s="28">
        <v>20.744356314826113</v>
      </c>
      <c r="D179" s="1" t="s">
        <v>44</v>
      </c>
      <c r="E179" s="1" t="s">
        <v>45</v>
      </c>
      <c r="F179" s="16">
        <v>3</v>
      </c>
      <c r="G179" s="16" t="s">
        <v>43</v>
      </c>
      <c r="H179" s="16" t="s">
        <v>31</v>
      </c>
      <c r="I179" s="16" t="s">
        <v>32</v>
      </c>
      <c r="J179" s="1"/>
      <c r="K179" s="1" t="s">
        <v>46</v>
      </c>
    </row>
    <row r="180" ht="15" customHeight="1">
      <c r="B180" s="24">
        <v>46002</v>
      </c>
      <c r="C180" s="28">
        <v>22.072985301571212</v>
      </c>
      <c r="D180" s="1" t="s">
        <v>44</v>
      </c>
      <c r="E180" s="1" t="s">
        <v>45</v>
      </c>
      <c r="F180" s="16">
        <v>3</v>
      </c>
      <c r="G180" s="16" t="s">
        <v>43</v>
      </c>
      <c r="H180" s="16" t="s">
        <v>31</v>
      </c>
      <c r="I180" s="16" t="s">
        <v>32</v>
      </c>
      <c r="J180" s="1"/>
      <c r="K180" s="1" t="s">
        <v>46</v>
      </c>
    </row>
    <row r="181" ht="15" customHeight="1">
      <c r="B181" s="24">
        <v>46009</v>
      </c>
      <c r="C181" s="28">
        <v>25.235032162295894</v>
      </c>
      <c r="D181" s="1" t="s">
        <v>44</v>
      </c>
      <c r="E181" s="1" t="s">
        <v>45</v>
      </c>
      <c r="F181" s="16">
        <v>3</v>
      </c>
      <c r="G181" s="16" t="s">
        <v>43</v>
      </c>
      <c r="H181" s="16" t="s">
        <v>31</v>
      </c>
      <c r="I181" s="16" t="s">
        <v>32</v>
      </c>
      <c r="J181" s="1"/>
      <c r="K181" s="1" t="s">
        <v>46</v>
      </c>
    </row>
    <row r="182" ht="15" customHeight="1">
      <c r="B182" s="24">
        <v>46016</v>
      </c>
      <c r="C182" s="28">
        <v>24.383983572895275</v>
      </c>
      <c r="D182" s="1" t="s">
        <v>44</v>
      </c>
      <c r="E182" s="1" t="s">
        <v>45</v>
      </c>
      <c r="F182" s="16">
        <v>3</v>
      </c>
      <c r="G182" s="16" t="s">
        <v>43</v>
      </c>
      <c r="H182" s="16" t="s">
        <v>31</v>
      </c>
      <c r="I182" s="16" t="s">
        <v>32</v>
      </c>
      <c r="J182" s="1"/>
      <c r="K182" s="1" t="s">
        <v>46</v>
      </c>
    </row>
    <row r="183" ht="15" customHeight="1">
      <c r="B183" s="24">
        <v>46037</v>
      </c>
      <c r="C183" s="28">
        <v>25.442604226156483</v>
      </c>
      <c r="D183" s="1" t="s">
        <v>44</v>
      </c>
      <c r="E183" s="1" t="s">
        <v>45</v>
      </c>
      <c r="F183" s="16">
        <v>3</v>
      </c>
      <c r="G183" s="16" t="s">
        <v>43</v>
      </c>
      <c r="H183" s="16" t="s">
        <v>31</v>
      </c>
      <c r="I183" s="16" t="s">
        <v>32</v>
      </c>
      <c r="J183" s="1"/>
      <c r="K183" s="1" t="s">
        <v>46</v>
      </c>
    </row>
    <row r="184" ht="15" customHeight="1">
      <c r="B184" s="24">
        <v>46044</v>
      </c>
      <c r="C184" s="28">
        <v>23.200428150923198</v>
      </c>
      <c r="D184" s="1" t="s">
        <v>44</v>
      </c>
      <c r="E184" s="1" t="s">
        <v>45</v>
      </c>
      <c r="F184" s="16">
        <v>3</v>
      </c>
      <c r="G184" s="16" t="s">
        <v>43</v>
      </c>
      <c r="H184" s="16" t="s">
        <v>31</v>
      </c>
      <c r="I184" s="16" t="s">
        <v>32</v>
      </c>
      <c r="J184" s="1"/>
      <c r="K184" s="1" t="s">
        <v>46</v>
      </c>
    </row>
    <row r="185" ht="15" customHeight="1">
      <c r="B185" s="24">
        <v>46051</v>
      </c>
      <c r="C185" s="28">
        <v>21.669980119284293</v>
      </c>
      <c r="D185" s="1" t="s">
        <v>44</v>
      </c>
      <c r="E185" s="1" t="s">
        <v>45</v>
      </c>
      <c r="F185" s="16">
        <v>3</v>
      </c>
      <c r="G185" s="16" t="s">
        <v>43</v>
      </c>
      <c r="H185" s="16" t="s">
        <v>31</v>
      </c>
      <c r="I185" s="16" t="s">
        <v>32</v>
      </c>
      <c r="J185" s="1"/>
      <c r="K185" s="1" t="s">
        <v>46</v>
      </c>
    </row>
    <row r="186" ht="15" customHeight="1">
      <c r="B186" s="24">
        <v>46058</v>
      </c>
      <c r="C186" s="28">
        <v>17.816813048933501</v>
      </c>
      <c r="D186" s="1" t="s">
        <v>44</v>
      </c>
      <c r="E186" s="1" t="s">
        <v>45</v>
      </c>
      <c r="F186" s="16">
        <v>3</v>
      </c>
      <c r="G186" s="16" t="s">
        <v>43</v>
      </c>
      <c r="H186" s="16" t="s">
        <v>31</v>
      </c>
      <c r="I186" s="16" t="s">
        <v>32</v>
      </c>
      <c r="J186" s="1"/>
      <c r="K186" s="1" t="s">
        <v>46</v>
      </c>
    </row>
    <row r="187" ht="15" customHeight="1">
      <c r="B187" s="24">
        <v>46065</v>
      </c>
      <c r="C187" s="28">
        <v>16.821724918280108</v>
      </c>
      <c r="D187" s="1" t="s">
        <v>44</v>
      </c>
      <c r="E187" s="1" t="s">
        <v>45</v>
      </c>
      <c r="F187" s="16">
        <v>3</v>
      </c>
      <c r="G187" s="16" t="s">
        <v>43</v>
      </c>
      <c r="H187" s="16" t="s">
        <v>31</v>
      </c>
      <c r="I187" s="16" t="s">
        <v>32</v>
      </c>
      <c r="J187" s="1"/>
      <c r="K187" s="1" t="s">
        <v>46</v>
      </c>
    </row>
    <row r="188" ht="15" customHeight="1">
      <c r="B188" s="24">
        <v>46072</v>
      </c>
      <c r="C188" s="28">
        <v>16.290726817042607</v>
      </c>
      <c r="D188" s="1" t="s">
        <v>44</v>
      </c>
      <c r="E188" s="1" t="s">
        <v>45</v>
      </c>
      <c r="F188" s="16">
        <v>3</v>
      </c>
      <c r="G188" s="16" t="s">
        <v>43</v>
      </c>
      <c r="H188" s="16" t="s">
        <v>31</v>
      </c>
      <c r="I188" s="16" t="s">
        <v>32</v>
      </c>
      <c r="J188" s="1"/>
      <c r="K188" s="1" t="s">
        <v>46</v>
      </c>
    </row>
    <row r="189" ht="15" customHeight="1">
      <c r="B189" s="24">
        <v>46079</v>
      </c>
      <c r="C189" s="28">
        <v>15.588578088578089</v>
      </c>
      <c r="D189" s="1" t="s">
        <v>44</v>
      </c>
      <c r="E189" s="1" t="s">
        <v>45</v>
      </c>
      <c r="F189" s="16">
        <v>3</v>
      </c>
      <c r="G189" s="16" t="s">
        <v>43</v>
      </c>
      <c r="H189" s="16" t="s">
        <v>31</v>
      </c>
      <c r="I189" s="16" t="s">
        <v>32</v>
      </c>
      <c r="J189" s="1"/>
      <c r="K189" s="1" t="s">
        <v>46</v>
      </c>
    </row>
    <row r="190" ht="15" customHeight="1">
      <c r="B190" s="24">
        <v>46086</v>
      </c>
      <c r="C190" s="28">
        <v>16.594332397242788</v>
      </c>
      <c r="D190" s="1" t="s">
        <v>44</v>
      </c>
      <c r="E190" s="1" t="s">
        <v>45</v>
      </c>
      <c r="F190" s="16">
        <v>3</v>
      </c>
      <c r="G190" s="16" t="s">
        <v>43</v>
      </c>
      <c r="H190" s="16" t="s">
        <v>31</v>
      </c>
      <c r="I190" s="16" t="s">
        <v>32</v>
      </c>
      <c r="J190" s="1"/>
      <c r="K190" s="1" t="s">
        <v>46</v>
      </c>
    </row>
    <row r="191" ht="15" customHeight="1">
      <c r="B191" s="24">
        <v>46093</v>
      </c>
      <c r="C191" s="28">
        <v>15.408986175115208</v>
      </c>
      <c r="D191" s="1" t="s">
        <v>44</v>
      </c>
      <c r="E191" s="1" t="s">
        <v>45</v>
      </c>
      <c r="F191" s="16">
        <v>3</v>
      </c>
      <c r="G191" s="16" t="s">
        <v>43</v>
      </c>
      <c r="H191" s="16" t="s">
        <v>31</v>
      </c>
      <c r="I191" s="16" t="s">
        <v>32</v>
      </c>
      <c r="J191" s="1"/>
      <c r="K191" s="1" t="s">
        <v>46</v>
      </c>
    </row>
    <row r="192" ht="15" customHeight="1">
      <c r="B192" s="24">
        <v>46100</v>
      </c>
      <c r="C192" s="28">
        <v>18.10850439882698</v>
      </c>
      <c r="D192" s="1" t="s">
        <v>44</v>
      </c>
      <c r="E192" s="1" t="s">
        <v>45</v>
      </c>
      <c r="F192" s="16">
        <v>3</v>
      </c>
      <c r="G192" s="16" t="s">
        <v>43</v>
      </c>
      <c r="H192" s="16" t="s">
        <v>31</v>
      </c>
      <c r="I192" s="16" t="s">
        <v>32</v>
      </c>
      <c r="J192" s="1"/>
      <c r="K192" s="1" t="s">
        <v>46</v>
      </c>
    </row>
    <row r="193" ht="15" customHeight="1">
      <c r="B193" s="24">
        <v>46107</v>
      </c>
      <c r="C193" s="28">
        <v>16.980670418399804</v>
      </c>
      <c r="D193" s="1" t="s">
        <v>44</v>
      </c>
      <c r="E193" s="1" t="s">
        <v>45</v>
      </c>
      <c r="F193" s="16">
        <v>3</v>
      </c>
      <c r="G193" s="16" t="s">
        <v>43</v>
      </c>
      <c r="H193" s="16" t="s">
        <v>31</v>
      </c>
      <c r="I193" s="16" t="s">
        <v>32</v>
      </c>
      <c r="J193" s="1"/>
      <c r="K193" s="1" t="s">
        <v>46</v>
      </c>
    </row>
    <row r="194" ht="15" customHeight="1">
      <c r="B194" s="24">
        <v>46114</v>
      </c>
      <c r="C194" s="28">
        <v>16.165598817151306</v>
      </c>
      <c r="D194" s="1" t="s">
        <v>44</v>
      </c>
      <c r="E194" s="1" t="s">
        <v>45</v>
      </c>
      <c r="F194" s="16">
        <v>3</v>
      </c>
      <c r="G194" s="16" t="s">
        <v>43</v>
      </c>
      <c r="H194" s="16" t="s">
        <v>31</v>
      </c>
      <c r="I194" s="16" t="s">
        <v>32</v>
      </c>
      <c r="J194" s="1"/>
      <c r="K194" s="1" t="s">
        <v>46</v>
      </c>
    </row>
    <row r="195" ht="15" customHeight="1">
      <c r="B195" s="24">
        <v>46121</v>
      </c>
      <c r="C195" s="28">
        <v>15.484034465281299</v>
      </c>
      <c r="D195" s="1" t="s">
        <v>44</v>
      </c>
      <c r="E195" s="1" t="s">
        <v>45</v>
      </c>
      <c r="F195" s="16">
        <v>3</v>
      </c>
      <c r="G195" s="16" t="s">
        <v>43</v>
      </c>
      <c r="H195" s="16" t="s">
        <v>31</v>
      </c>
      <c r="I195" s="16" t="s">
        <v>32</v>
      </c>
      <c r="J195" s="1"/>
      <c r="K195" s="1" t="s">
        <v>46</v>
      </c>
    </row>
    <row r="196" ht="15" customHeight="1">
      <c r="B196" s="24">
        <v>45897</v>
      </c>
      <c r="C196" s="1">
        <v>223</v>
      </c>
      <c r="D196" s="1" t="s">
        <v>47</v>
      </c>
      <c r="E196" t="s">
        <v>48</v>
      </c>
      <c r="F196" s="16">
        <v>3</v>
      </c>
      <c r="G196" s="16" t="s">
        <v>37</v>
      </c>
      <c r="H196" s="16" t="s">
        <v>31</v>
      </c>
      <c r="I196" s="16" t="s">
        <v>32</v>
      </c>
      <c r="J196" s="1"/>
      <c r="K196" s="1" t="s">
        <v>46</v>
      </c>
    </row>
    <row r="197" ht="15" customHeight="1">
      <c r="B197" s="24">
        <v>45904</v>
      </c>
      <c r="C197" s="1">
        <v>279</v>
      </c>
      <c r="D197" s="1" t="s">
        <v>47</v>
      </c>
      <c r="E197" t="s">
        <v>48</v>
      </c>
      <c r="F197" s="16">
        <v>3</v>
      </c>
      <c r="G197" s="16" t="s">
        <v>37</v>
      </c>
      <c r="H197" s="16" t="s">
        <v>31</v>
      </c>
      <c r="I197" s="16" t="s">
        <v>32</v>
      </c>
      <c r="J197" s="1"/>
      <c r="K197" s="1" t="s">
        <v>46</v>
      </c>
    </row>
    <row r="198" ht="15" customHeight="1">
      <c r="B198" s="24">
        <v>45911</v>
      </c>
      <c r="C198" s="1">
        <v>183</v>
      </c>
      <c r="D198" s="1" t="s">
        <v>47</v>
      </c>
      <c r="E198" t="s">
        <v>48</v>
      </c>
      <c r="F198" s="16">
        <v>3</v>
      </c>
      <c r="G198" s="16" t="s">
        <v>37</v>
      </c>
      <c r="H198" s="16" t="s">
        <v>31</v>
      </c>
      <c r="I198" s="16" t="s">
        <v>32</v>
      </c>
      <c r="J198" s="1"/>
      <c r="K198" s="1" t="s">
        <v>46</v>
      </c>
    </row>
    <row r="199" ht="15" customHeight="1">
      <c r="B199" s="24">
        <v>45918</v>
      </c>
      <c r="C199" s="1">
        <v>324</v>
      </c>
      <c r="D199" s="1" t="s">
        <v>47</v>
      </c>
      <c r="E199" t="s">
        <v>48</v>
      </c>
      <c r="F199" s="16">
        <v>3</v>
      </c>
      <c r="G199" s="16" t="s">
        <v>37</v>
      </c>
      <c r="H199" s="16" t="s">
        <v>31</v>
      </c>
      <c r="I199" s="16" t="s">
        <v>32</v>
      </c>
      <c r="J199" s="1"/>
      <c r="K199" s="1" t="s">
        <v>46</v>
      </c>
    </row>
    <row r="200" ht="15" customHeight="1">
      <c r="B200" s="24">
        <v>45925</v>
      </c>
      <c r="C200" s="1">
        <v>236</v>
      </c>
      <c r="D200" s="1" t="s">
        <v>47</v>
      </c>
      <c r="E200" t="s">
        <v>48</v>
      </c>
      <c r="F200" s="16">
        <v>3</v>
      </c>
      <c r="G200" s="16" t="s">
        <v>37</v>
      </c>
      <c r="H200" s="16" t="s">
        <v>31</v>
      </c>
      <c r="I200" s="16" t="s">
        <v>32</v>
      </c>
      <c r="J200" s="1"/>
      <c r="K200" s="1" t="s">
        <v>46</v>
      </c>
    </row>
    <row r="201" ht="15" customHeight="1">
      <c r="B201" s="24">
        <v>45932</v>
      </c>
      <c r="C201" s="1">
        <v>295</v>
      </c>
      <c r="D201" s="1" t="s">
        <v>47</v>
      </c>
      <c r="E201" t="s">
        <v>48</v>
      </c>
      <c r="F201" s="16">
        <v>3</v>
      </c>
      <c r="G201" s="16" t="s">
        <v>37</v>
      </c>
      <c r="H201" s="16" t="s">
        <v>31</v>
      </c>
      <c r="I201" s="16" t="s">
        <v>32</v>
      </c>
      <c r="J201" s="1"/>
      <c r="K201" s="1" t="s">
        <v>46</v>
      </c>
    </row>
    <row r="202" ht="15" customHeight="1">
      <c r="B202" s="24">
        <v>45939</v>
      </c>
      <c r="C202" s="1">
        <v>172</v>
      </c>
      <c r="D202" s="1" t="s">
        <v>47</v>
      </c>
      <c r="E202" t="s">
        <v>48</v>
      </c>
      <c r="F202" s="16">
        <v>3</v>
      </c>
      <c r="G202" s="16" t="s">
        <v>37</v>
      </c>
      <c r="H202" s="16" t="s">
        <v>31</v>
      </c>
      <c r="I202" s="16" t="s">
        <v>32</v>
      </c>
      <c r="J202" s="1"/>
      <c r="K202" s="1" t="s">
        <v>46</v>
      </c>
    </row>
    <row r="203" ht="15" customHeight="1">
      <c r="B203" s="24">
        <v>45946</v>
      </c>
      <c r="C203" s="1">
        <v>245</v>
      </c>
      <c r="D203" s="1" t="s">
        <v>47</v>
      </c>
      <c r="E203" t="s">
        <v>48</v>
      </c>
      <c r="F203" s="16">
        <v>3</v>
      </c>
      <c r="G203" s="16" t="s">
        <v>37</v>
      </c>
      <c r="H203" s="16" t="s">
        <v>31</v>
      </c>
      <c r="I203" s="16" t="s">
        <v>32</v>
      </c>
      <c r="J203" s="1"/>
      <c r="K203" s="1" t="s">
        <v>46</v>
      </c>
    </row>
    <row r="204" ht="15" customHeight="1">
      <c r="B204" s="24">
        <v>45953</v>
      </c>
      <c r="C204" s="1">
        <v>229</v>
      </c>
      <c r="D204" s="1" t="s">
        <v>47</v>
      </c>
      <c r="E204" t="s">
        <v>48</v>
      </c>
      <c r="F204" s="16">
        <v>3</v>
      </c>
      <c r="G204" s="16" t="s">
        <v>37</v>
      </c>
      <c r="H204" s="16" t="s">
        <v>31</v>
      </c>
      <c r="I204" s="16" t="s">
        <v>32</v>
      </c>
      <c r="J204" s="1"/>
      <c r="K204" s="1" t="s">
        <v>46</v>
      </c>
    </row>
    <row r="205" ht="15" customHeight="1">
      <c r="B205" s="24">
        <v>45960</v>
      </c>
      <c r="C205" s="1">
        <v>293</v>
      </c>
      <c r="D205" s="1" t="s">
        <v>47</v>
      </c>
      <c r="E205" t="s">
        <v>48</v>
      </c>
      <c r="F205" s="16">
        <v>3</v>
      </c>
      <c r="G205" s="16" t="s">
        <v>37</v>
      </c>
      <c r="H205" s="16" t="s">
        <v>31</v>
      </c>
      <c r="I205" s="16" t="s">
        <v>32</v>
      </c>
      <c r="J205" s="1"/>
      <c r="K205" s="1" t="s">
        <v>46</v>
      </c>
    </row>
    <row r="206" ht="15" customHeight="1">
      <c r="B206" s="24">
        <v>45967</v>
      </c>
      <c r="C206" s="1">
        <v>176</v>
      </c>
      <c r="D206" s="1" t="s">
        <v>47</v>
      </c>
      <c r="E206" t="s">
        <v>48</v>
      </c>
      <c r="F206" s="16">
        <v>3</v>
      </c>
      <c r="G206" s="16" t="s">
        <v>37</v>
      </c>
      <c r="H206" s="16" t="s">
        <v>31</v>
      </c>
      <c r="I206" s="16" t="s">
        <v>32</v>
      </c>
      <c r="J206" s="1"/>
      <c r="K206" s="1" t="s">
        <v>46</v>
      </c>
    </row>
    <row r="207" ht="15" customHeight="1">
      <c r="B207" s="24">
        <v>45974</v>
      </c>
      <c r="C207" s="1">
        <v>258</v>
      </c>
      <c r="D207" s="1" t="s">
        <v>47</v>
      </c>
      <c r="E207" t="s">
        <v>48</v>
      </c>
      <c r="F207" s="16">
        <v>3</v>
      </c>
      <c r="G207" s="16" t="s">
        <v>37</v>
      </c>
      <c r="H207" s="16" t="s">
        <v>31</v>
      </c>
      <c r="I207" s="16" t="s">
        <v>32</v>
      </c>
      <c r="J207" s="1"/>
      <c r="K207" s="1" t="s">
        <v>46</v>
      </c>
    </row>
    <row r="208" ht="15" customHeight="1">
      <c r="B208" s="24">
        <v>45981</v>
      </c>
      <c r="C208" s="1">
        <v>257</v>
      </c>
      <c r="D208" s="1" t="s">
        <v>47</v>
      </c>
      <c r="E208" t="s">
        <v>48</v>
      </c>
      <c r="F208" s="16">
        <v>3</v>
      </c>
      <c r="G208" s="16" t="s">
        <v>37</v>
      </c>
      <c r="H208" s="16" t="s">
        <v>31</v>
      </c>
      <c r="I208" s="16" t="s">
        <v>32</v>
      </c>
      <c r="J208" s="1"/>
      <c r="K208" s="1" t="s">
        <v>46</v>
      </c>
    </row>
    <row r="209" ht="15" customHeight="1">
      <c r="B209" s="24">
        <v>45988</v>
      </c>
      <c r="C209" s="1">
        <v>296</v>
      </c>
      <c r="D209" s="1" t="s">
        <v>47</v>
      </c>
      <c r="E209" t="s">
        <v>48</v>
      </c>
      <c r="F209" s="16">
        <v>3</v>
      </c>
      <c r="G209" s="16" t="s">
        <v>37</v>
      </c>
      <c r="H209" s="16" t="s">
        <v>31</v>
      </c>
      <c r="I209" s="16" t="s">
        <v>32</v>
      </c>
      <c r="J209" s="1"/>
      <c r="K209" s="1" t="s">
        <v>46</v>
      </c>
    </row>
    <row r="210" ht="15" customHeight="1">
      <c r="B210" s="24">
        <v>45995</v>
      </c>
      <c r="C210" s="1">
        <v>261</v>
      </c>
      <c r="D210" s="1" t="s">
        <v>47</v>
      </c>
      <c r="E210" t="s">
        <v>48</v>
      </c>
      <c r="F210" s="16">
        <v>3</v>
      </c>
      <c r="G210" s="16" t="s">
        <v>37</v>
      </c>
      <c r="H210" s="16" t="s">
        <v>31</v>
      </c>
      <c r="I210" s="16" t="s">
        <v>32</v>
      </c>
      <c r="J210" s="1"/>
      <c r="K210" s="1" t="s">
        <v>46</v>
      </c>
    </row>
    <row r="211" ht="15" customHeight="1">
      <c r="B211" s="24">
        <v>46002</v>
      </c>
      <c r="C211" s="1">
        <v>560</v>
      </c>
      <c r="D211" s="1" t="s">
        <v>47</v>
      </c>
      <c r="E211" t="s">
        <v>48</v>
      </c>
      <c r="F211" s="16">
        <v>3</v>
      </c>
      <c r="G211" s="16" t="s">
        <v>37</v>
      </c>
      <c r="H211" s="16" t="s">
        <v>31</v>
      </c>
      <c r="I211" s="16" t="s">
        <v>32</v>
      </c>
      <c r="J211" s="1"/>
      <c r="K211" s="1" t="s">
        <v>46</v>
      </c>
    </row>
    <row r="212" ht="15" customHeight="1">
      <c r="B212" s="24">
        <v>46009</v>
      </c>
      <c r="C212" s="1">
        <v>879</v>
      </c>
      <c r="D212" s="1" t="s">
        <v>47</v>
      </c>
      <c r="E212" t="s">
        <v>48</v>
      </c>
      <c r="F212" s="16">
        <v>3</v>
      </c>
      <c r="G212" s="16" t="s">
        <v>37</v>
      </c>
      <c r="H212" s="16" t="s">
        <v>31</v>
      </c>
      <c r="I212" s="16" t="s">
        <v>32</v>
      </c>
      <c r="J212" s="1"/>
      <c r="K212" s="1" t="s">
        <v>46</v>
      </c>
    </row>
    <row r="213" ht="15" customHeight="1">
      <c r="B213" s="24">
        <v>46016</v>
      </c>
      <c r="C213" s="1">
        <v>897</v>
      </c>
      <c r="D213" s="1" t="s">
        <v>47</v>
      </c>
      <c r="E213" t="s">
        <v>48</v>
      </c>
      <c r="F213" s="16">
        <v>3</v>
      </c>
      <c r="G213" s="16" t="s">
        <v>37</v>
      </c>
      <c r="H213" s="16" t="s">
        <v>31</v>
      </c>
      <c r="I213" s="16" t="s">
        <v>32</v>
      </c>
      <c r="J213" s="1"/>
      <c r="K213" s="1" t="s">
        <v>46</v>
      </c>
    </row>
    <row r="214" ht="15" customHeight="1">
      <c r="B214" s="24">
        <v>46037</v>
      </c>
      <c r="C214" s="1">
        <v>738</v>
      </c>
      <c r="D214" s="1" t="s">
        <v>47</v>
      </c>
      <c r="E214" t="s">
        <v>48</v>
      </c>
      <c r="F214" s="16">
        <v>3</v>
      </c>
      <c r="G214" s="16" t="s">
        <v>37</v>
      </c>
      <c r="H214" s="16" t="s">
        <v>31</v>
      </c>
      <c r="I214" s="16" t="s">
        <v>32</v>
      </c>
      <c r="J214" s="1"/>
      <c r="K214" s="1" t="s">
        <v>46</v>
      </c>
    </row>
    <row r="215" ht="15" customHeight="1">
      <c r="B215" s="24">
        <v>46044</v>
      </c>
      <c r="C215" s="1">
        <v>598</v>
      </c>
      <c r="D215" s="1" t="s">
        <v>47</v>
      </c>
      <c r="E215" t="s">
        <v>48</v>
      </c>
      <c r="F215" s="16">
        <v>3</v>
      </c>
      <c r="G215" s="16" t="s">
        <v>37</v>
      </c>
      <c r="H215" s="16" t="s">
        <v>31</v>
      </c>
      <c r="I215" s="16" t="s">
        <v>32</v>
      </c>
      <c r="J215" s="1"/>
      <c r="K215" s="1" t="s">
        <v>46</v>
      </c>
    </row>
    <row r="216" ht="15" customHeight="1">
      <c r="B216" s="24">
        <v>46051</v>
      </c>
      <c r="C216" s="1">
        <v>601</v>
      </c>
      <c r="D216" s="1" t="s">
        <v>47</v>
      </c>
      <c r="E216" t="s">
        <v>48</v>
      </c>
      <c r="F216" s="16">
        <v>3</v>
      </c>
      <c r="G216" s="16" t="s">
        <v>37</v>
      </c>
      <c r="H216" s="16" t="s">
        <v>31</v>
      </c>
      <c r="I216" s="16" t="s">
        <v>32</v>
      </c>
      <c r="J216" s="1"/>
      <c r="K216" s="1" t="s">
        <v>46</v>
      </c>
    </row>
    <row r="217" ht="15" customHeight="1">
      <c r="B217" s="24">
        <v>46058</v>
      </c>
      <c r="C217" s="1">
        <v>430</v>
      </c>
      <c r="D217" s="1" t="s">
        <v>47</v>
      </c>
      <c r="E217" t="s">
        <v>48</v>
      </c>
      <c r="F217" s="16">
        <v>3</v>
      </c>
      <c r="G217" s="16" t="s">
        <v>37</v>
      </c>
      <c r="H217" s="16" t="s">
        <v>31</v>
      </c>
      <c r="I217" s="16" t="s">
        <v>32</v>
      </c>
      <c r="J217" s="1"/>
      <c r="K217" s="1" t="s">
        <v>46</v>
      </c>
    </row>
    <row r="218" ht="15" customHeight="1">
      <c r="B218" s="24">
        <v>46065</v>
      </c>
      <c r="C218" s="1">
        <v>560</v>
      </c>
      <c r="D218" s="1" t="s">
        <v>47</v>
      </c>
      <c r="E218" t="s">
        <v>48</v>
      </c>
      <c r="F218" s="16">
        <v>3</v>
      </c>
      <c r="G218" s="16" t="s">
        <v>37</v>
      </c>
      <c r="H218" s="16" t="s">
        <v>31</v>
      </c>
      <c r="I218" s="16" t="s">
        <v>32</v>
      </c>
      <c r="J218" s="1"/>
      <c r="K218" s="1" t="s">
        <v>46</v>
      </c>
    </row>
    <row r="219" ht="15" customHeight="1">
      <c r="B219" s="24">
        <v>46072</v>
      </c>
      <c r="C219" s="1">
        <v>454</v>
      </c>
      <c r="D219" s="1" t="s">
        <v>47</v>
      </c>
      <c r="E219" t="s">
        <v>48</v>
      </c>
      <c r="F219" s="16">
        <v>3</v>
      </c>
      <c r="G219" s="16" t="s">
        <v>37</v>
      </c>
      <c r="H219" s="16" t="s">
        <v>31</v>
      </c>
      <c r="I219" s="16" t="s">
        <v>32</v>
      </c>
      <c r="J219" s="1"/>
      <c r="K219" s="1" t="s">
        <v>46</v>
      </c>
    </row>
    <row r="220" ht="15" customHeight="1">
      <c r="B220" s="24">
        <v>46079</v>
      </c>
      <c r="C220" s="1">
        <v>314</v>
      </c>
      <c r="D220" s="1" t="s">
        <v>47</v>
      </c>
      <c r="E220" t="s">
        <v>48</v>
      </c>
      <c r="F220" s="16">
        <v>3</v>
      </c>
      <c r="G220" s="16" t="s">
        <v>37</v>
      </c>
      <c r="H220" s="16" t="s">
        <v>31</v>
      </c>
      <c r="I220" s="16" t="s">
        <v>32</v>
      </c>
      <c r="J220" s="1"/>
      <c r="K220" s="1" t="s">
        <v>46</v>
      </c>
    </row>
    <row r="221" ht="15" customHeight="1">
      <c r="B221" s="24">
        <v>46086</v>
      </c>
      <c r="C221" s="1">
        <v>336</v>
      </c>
      <c r="D221" s="1" t="s">
        <v>47</v>
      </c>
      <c r="E221" t="s">
        <v>48</v>
      </c>
      <c r="F221" s="16">
        <v>3</v>
      </c>
      <c r="G221" s="16" t="s">
        <v>37</v>
      </c>
      <c r="H221" s="16" t="s">
        <v>31</v>
      </c>
      <c r="I221" s="16" t="s">
        <v>32</v>
      </c>
      <c r="J221" s="1"/>
      <c r="K221" s="1" t="s">
        <v>46</v>
      </c>
    </row>
    <row r="222" ht="15" customHeight="1">
      <c r="B222" s="24">
        <v>46093</v>
      </c>
      <c r="C222" s="1">
        <v>419</v>
      </c>
      <c r="D222" s="1" t="s">
        <v>47</v>
      </c>
      <c r="E222" t="s">
        <v>48</v>
      </c>
      <c r="F222" s="16">
        <v>3</v>
      </c>
      <c r="G222" s="16" t="s">
        <v>37</v>
      </c>
      <c r="H222" s="16" t="s">
        <v>31</v>
      </c>
      <c r="I222" s="16" t="s">
        <v>32</v>
      </c>
      <c r="J222" s="1"/>
      <c r="K222" s="1" t="s">
        <v>46</v>
      </c>
    </row>
    <row r="223" ht="15" customHeight="1">
      <c r="B223" s="24">
        <v>46100</v>
      </c>
      <c r="C223" s="1">
        <v>499</v>
      </c>
      <c r="D223" s="1" t="s">
        <v>47</v>
      </c>
      <c r="E223" t="s">
        <v>48</v>
      </c>
      <c r="F223" s="16">
        <v>3</v>
      </c>
      <c r="G223" s="16" t="s">
        <v>37</v>
      </c>
      <c r="H223" s="16" t="s">
        <v>31</v>
      </c>
      <c r="I223" s="16" t="s">
        <v>32</v>
      </c>
      <c r="J223" s="1"/>
      <c r="K223" s="1" t="s">
        <v>46</v>
      </c>
    </row>
    <row r="224" ht="15" customHeight="1">
      <c r="B224" s="24">
        <v>46107</v>
      </c>
      <c r="C224" s="1">
        <v>503</v>
      </c>
      <c r="D224" s="1" t="s">
        <v>47</v>
      </c>
      <c r="E224" t="s">
        <v>48</v>
      </c>
      <c r="F224" s="16">
        <v>3</v>
      </c>
      <c r="G224" s="16" t="s">
        <v>37</v>
      </c>
      <c r="H224" s="16" t="s">
        <v>31</v>
      </c>
      <c r="I224" s="16" t="s">
        <v>32</v>
      </c>
      <c r="J224" s="1"/>
      <c r="K224" s="1" t="s">
        <v>46</v>
      </c>
    </row>
    <row r="225" ht="15" customHeight="1">
      <c r="B225" s="24">
        <v>46114</v>
      </c>
      <c r="C225" s="1">
        <v>342</v>
      </c>
      <c r="D225" s="1" t="s">
        <v>47</v>
      </c>
      <c r="E225" t="s">
        <v>48</v>
      </c>
      <c r="F225" s="16">
        <v>3</v>
      </c>
      <c r="G225" s="16" t="s">
        <v>37</v>
      </c>
      <c r="H225" s="16" t="s">
        <v>31</v>
      </c>
      <c r="I225" s="16" t="s">
        <v>32</v>
      </c>
      <c r="J225" s="1"/>
      <c r="K225" s="1" t="s">
        <v>46</v>
      </c>
    </row>
    <row r="226" ht="15" customHeight="1">
      <c r="B226" s="24">
        <v>46121</v>
      </c>
      <c r="C226" s="29">
        <v>378</v>
      </c>
      <c r="D226" s="1" t="s">
        <v>47</v>
      </c>
      <c r="E226" t="s">
        <v>48</v>
      </c>
      <c r="F226" s="16">
        <v>3</v>
      </c>
      <c r="G226" s="16" t="s">
        <v>37</v>
      </c>
      <c r="H226" s="16" t="s">
        <v>31</v>
      </c>
      <c r="I226" s="16" t="s">
        <v>32</v>
      </c>
      <c r="J226" s="1"/>
      <c r="K226" s="1" t="s">
        <v>46</v>
      </c>
    </row>
    <row r="227" ht="15" customHeight="1">
      <c r="B227" s="24">
        <v>45897</v>
      </c>
      <c r="C227" s="1">
        <v>174</v>
      </c>
      <c r="D227" s="1" t="s">
        <v>49</v>
      </c>
      <c r="E227" s="1" t="s">
        <v>50</v>
      </c>
      <c r="F227" s="16">
        <v>3</v>
      </c>
      <c r="G227" s="16" t="s">
        <v>30</v>
      </c>
      <c r="H227" s="16" t="s">
        <v>31</v>
      </c>
      <c r="I227" s="16" t="s">
        <v>32</v>
      </c>
      <c r="J227" s="1"/>
      <c r="K227" s="1" t="s">
        <v>46</v>
      </c>
    </row>
    <row r="228" ht="15" customHeight="1">
      <c r="B228" s="24">
        <v>45904</v>
      </c>
      <c r="C228" s="1">
        <v>215</v>
      </c>
      <c r="D228" s="1" t="s">
        <v>49</v>
      </c>
      <c r="E228" s="1" t="s">
        <v>50</v>
      </c>
      <c r="F228" s="16">
        <v>3</v>
      </c>
      <c r="G228" s="16" t="s">
        <v>30</v>
      </c>
      <c r="H228" s="16" t="s">
        <v>31</v>
      </c>
      <c r="I228" s="16" t="s">
        <v>32</v>
      </c>
      <c r="J228" s="1"/>
      <c r="K228" s="1" t="s">
        <v>46</v>
      </c>
    </row>
    <row r="229" ht="15" customHeight="1">
      <c r="B229" s="24">
        <v>45911</v>
      </c>
      <c r="C229" s="1">
        <v>143</v>
      </c>
      <c r="D229" s="1" t="s">
        <v>49</v>
      </c>
      <c r="E229" s="1" t="s">
        <v>50</v>
      </c>
      <c r="F229" s="16">
        <v>3</v>
      </c>
      <c r="G229" s="16" t="s">
        <v>30</v>
      </c>
      <c r="H229" s="16" t="s">
        <v>31</v>
      </c>
      <c r="I229" s="16" t="s">
        <v>32</v>
      </c>
      <c r="J229" s="1"/>
      <c r="K229" s="1" t="s">
        <v>46</v>
      </c>
    </row>
    <row r="230" ht="15" customHeight="1">
      <c r="B230" s="24">
        <v>45918</v>
      </c>
      <c r="C230" s="1">
        <v>252</v>
      </c>
      <c r="D230" s="1" t="s">
        <v>49</v>
      </c>
      <c r="E230" s="1" t="s">
        <v>50</v>
      </c>
      <c r="F230" s="16">
        <v>3</v>
      </c>
      <c r="G230" s="16" t="s">
        <v>30</v>
      </c>
      <c r="H230" s="16" t="s">
        <v>31</v>
      </c>
      <c r="I230" s="16" t="s">
        <v>32</v>
      </c>
      <c r="J230" s="1"/>
      <c r="K230" s="1" t="s">
        <v>46</v>
      </c>
    </row>
    <row r="231" ht="15" customHeight="1">
      <c r="B231" s="24">
        <v>45925</v>
      </c>
      <c r="C231" s="1">
        <v>194</v>
      </c>
      <c r="D231" s="1" t="s">
        <v>49</v>
      </c>
      <c r="E231" s="1" t="s">
        <v>50</v>
      </c>
      <c r="F231" s="16">
        <v>3</v>
      </c>
      <c r="G231" s="16" t="s">
        <v>30</v>
      </c>
      <c r="H231" s="16" t="s">
        <v>31</v>
      </c>
      <c r="I231" s="16" t="s">
        <v>32</v>
      </c>
      <c r="J231" s="1"/>
      <c r="K231" s="1" t="s">
        <v>46</v>
      </c>
    </row>
    <row r="232" ht="15" customHeight="1">
      <c r="B232" s="24">
        <v>45932</v>
      </c>
      <c r="C232" s="1">
        <v>231</v>
      </c>
      <c r="D232" s="1" t="s">
        <v>49</v>
      </c>
      <c r="E232" s="1" t="s">
        <v>50</v>
      </c>
      <c r="F232" s="16">
        <v>3</v>
      </c>
      <c r="G232" s="16" t="s">
        <v>30</v>
      </c>
      <c r="H232" s="16" t="s">
        <v>31</v>
      </c>
      <c r="I232" s="16" t="s">
        <v>32</v>
      </c>
      <c r="J232" s="1"/>
      <c r="K232" s="1" t="s">
        <v>46</v>
      </c>
    </row>
    <row r="233" ht="15" customHeight="1">
      <c r="B233" s="24">
        <v>45939</v>
      </c>
      <c r="C233" s="1">
        <v>146</v>
      </c>
      <c r="D233" s="1" t="s">
        <v>49</v>
      </c>
      <c r="E233" s="1" t="s">
        <v>50</v>
      </c>
      <c r="F233" s="16">
        <v>3</v>
      </c>
      <c r="G233" s="16" t="s">
        <v>30</v>
      </c>
      <c r="H233" s="16" t="s">
        <v>31</v>
      </c>
      <c r="I233" s="16" t="s">
        <v>32</v>
      </c>
      <c r="J233" s="1"/>
      <c r="K233" s="1" t="s">
        <v>46</v>
      </c>
    </row>
    <row r="234" ht="15" customHeight="1">
      <c r="B234" s="24">
        <v>45946</v>
      </c>
      <c r="C234" s="1">
        <v>193</v>
      </c>
      <c r="D234" s="1" t="s">
        <v>49</v>
      </c>
      <c r="E234" s="1" t="s">
        <v>50</v>
      </c>
      <c r="F234" s="16">
        <v>3</v>
      </c>
      <c r="G234" s="16" t="s">
        <v>30</v>
      </c>
      <c r="H234" s="16" t="s">
        <v>31</v>
      </c>
      <c r="I234" s="16" t="s">
        <v>32</v>
      </c>
      <c r="J234" s="1"/>
      <c r="K234" s="1" t="s">
        <v>46</v>
      </c>
    </row>
    <row r="235" ht="15" customHeight="1">
      <c r="B235" s="24">
        <v>45953</v>
      </c>
      <c r="C235" s="1">
        <v>192</v>
      </c>
      <c r="D235" s="1" t="s">
        <v>49</v>
      </c>
      <c r="E235" s="1" t="s">
        <v>50</v>
      </c>
      <c r="F235" s="16">
        <v>3</v>
      </c>
      <c r="G235" s="16" t="s">
        <v>30</v>
      </c>
      <c r="H235" s="16" t="s">
        <v>31</v>
      </c>
      <c r="I235" s="16" t="s">
        <v>32</v>
      </c>
      <c r="J235" s="1"/>
      <c r="K235" s="1" t="s">
        <v>46</v>
      </c>
    </row>
    <row r="236" ht="15" customHeight="1">
      <c r="B236" s="24">
        <v>45960</v>
      </c>
      <c r="C236" s="1">
        <v>239</v>
      </c>
      <c r="D236" s="1" t="s">
        <v>49</v>
      </c>
      <c r="E236" s="1" t="s">
        <v>50</v>
      </c>
      <c r="F236" s="16">
        <v>3</v>
      </c>
      <c r="G236" s="16" t="s">
        <v>30</v>
      </c>
      <c r="H236" s="16" t="s">
        <v>31</v>
      </c>
      <c r="I236" s="16" t="s">
        <v>32</v>
      </c>
      <c r="J236" s="1"/>
      <c r="K236" s="1" t="s">
        <v>46</v>
      </c>
    </row>
    <row r="237" ht="15" customHeight="1">
      <c r="B237" s="24">
        <v>45967</v>
      </c>
      <c r="C237" s="1">
        <v>156</v>
      </c>
      <c r="D237" s="1" t="s">
        <v>49</v>
      </c>
      <c r="E237" s="1" t="s">
        <v>50</v>
      </c>
      <c r="F237" s="16">
        <v>3</v>
      </c>
      <c r="G237" s="16" t="s">
        <v>30</v>
      </c>
      <c r="H237" s="16" t="s">
        <v>31</v>
      </c>
      <c r="I237" s="16" t="s">
        <v>32</v>
      </c>
      <c r="J237" s="1"/>
      <c r="K237" s="1" t="s">
        <v>46</v>
      </c>
    </row>
    <row r="238" ht="15" customHeight="1">
      <c r="B238" s="24">
        <v>45974</v>
      </c>
      <c r="C238" s="1">
        <v>213</v>
      </c>
      <c r="D238" s="1" t="s">
        <v>49</v>
      </c>
      <c r="E238" s="1" t="s">
        <v>50</v>
      </c>
      <c r="F238" s="16">
        <v>3</v>
      </c>
      <c r="G238" s="16" t="s">
        <v>30</v>
      </c>
      <c r="H238" s="16" t="s">
        <v>31</v>
      </c>
      <c r="I238" s="16" t="s">
        <v>32</v>
      </c>
      <c r="J238" s="1"/>
      <c r="K238" s="1" t="s">
        <v>46</v>
      </c>
    </row>
    <row r="239" ht="15" customHeight="1">
      <c r="B239" s="24">
        <v>45981</v>
      </c>
      <c r="C239" s="1">
        <v>204</v>
      </c>
      <c r="D239" s="1" t="s">
        <v>49</v>
      </c>
      <c r="E239" s="1" t="s">
        <v>50</v>
      </c>
      <c r="F239" s="16">
        <v>3</v>
      </c>
      <c r="G239" s="16" t="s">
        <v>30</v>
      </c>
      <c r="H239" s="16" t="s">
        <v>31</v>
      </c>
      <c r="I239" s="16" t="s">
        <v>32</v>
      </c>
      <c r="J239" s="1"/>
      <c r="K239" s="1" t="s">
        <v>46</v>
      </c>
    </row>
    <row r="240" ht="15" customHeight="1">
      <c r="B240" s="24">
        <v>45988</v>
      </c>
      <c r="C240" s="1">
        <v>227</v>
      </c>
      <c r="D240" s="1" t="s">
        <v>49</v>
      </c>
      <c r="E240" s="1" t="s">
        <v>50</v>
      </c>
      <c r="F240" s="16">
        <v>3</v>
      </c>
      <c r="G240" s="16" t="s">
        <v>30</v>
      </c>
      <c r="H240" s="16" t="s">
        <v>31</v>
      </c>
      <c r="I240" s="16" t="s">
        <v>32</v>
      </c>
      <c r="J240" s="1"/>
      <c r="K240" s="1" t="s">
        <v>46</v>
      </c>
    </row>
    <row r="241" ht="15" customHeight="1">
      <c r="B241" s="24">
        <v>45995</v>
      </c>
      <c r="C241" s="1">
        <v>212</v>
      </c>
      <c r="D241" s="1" t="s">
        <v>49</v>
      </c>
      <c r="E241" s="1" t="s">
        <v>50</v>
      </c>
      <c r="F241" s="16">
        <v>3</v>
      </c>
      <c r="G241" s="16" t="s">
        <v>30</v>
      </c>
      <c r="H241" s="16" t="s">
        <v>31</v>
      </c>
      <c r="I241" s="16" t="s">
        <v>32</v>
      </c>
      <c r="J241" s="1"/>
      <c r="K241" s="1" t="s">
        <v>46</v>
      </c>
    </row>
    <row r="242" ht="15" customHeight="1">
      <c r="B242" s="24">
        <v>46002</v>
      </c>
      <c r="C242" s="1">
        <v>374</v>
      </c>
      <c r="D242" s="1" t="s">
        <v>49</v>
      </c>
      <c r="E242" s="1" t="s">
        <v>50</v>
      </c>
      <c r="F242" s="16">
        <v>3</v>
      </c>
      <c r="G242" s="16" t="s">
        <v>30</v>
      </c>
      <c r="H242" s="16" t="s">
        <v>31</v>
      </c>
      <c r="I242" s="16" t="s">
        <v>32</v>
      </c>
      <c r="J242" s="1"/>
      <c r="K242" s="1" t="s">
        <v>46</v>
      </c>
    </row>
    <row r="243" ht="15" customHeight="1">
      <c r="B243" s="24">
        <v>46009</v>
      </c>
      <c r="C243" s="1">
        <v>546</v>
      </c>
      <c r="D243" s="1" t="s">
        <v>49</v>
      </c>
      <c r="E243" s="1" t="s">
        <v>50</v>
      </c>
      <c r="F243" s="16">
        <v>3</v>
      </c>
      <c r="G243" s="16" t="s">
        <v>30</v>
      </c>
      <c r="H243" s="16" t="s">
        <v>31</v>
      </c>
      <c r="I243" s="16" t="s">
        <v>32</v>
      </c>
      <c r="J243" s="1"/>
      <c r="K243" s="1" t="s">
        <v>46</v>
      </c>
    </row>
    <row r="244" ht="15" customHeight="1">
      <c r="B244" s="24">
        <v>46016</v>
      </c>
      <c r="C244" s="1">
        <v>572</v>
      </c>
      <c r="D244" s="1" t="s">
        <v>49</v>
      </c>
      <c r="E244" s="1" t="s">
        <v>50</v>
      </c>
      <c r="F244" s="16">
        <v>3</v>
      </c>
      <c r="G244" s="16" t="s">
        <v>30</v>
      </c>
      <c r="H244" s="16" t="s">
        <v>31</v>
      </c>
      <c r="I244" s="16" t="s">
        <v>32</v>
      </c>
      <c r="J244" s="1"/>
      <c r="K244" s="1" t="s">
        <v>46</v>
      </c>
    </row>
    <row r="245" ht="15" customHeight="1">
      <c r="B245" s="24">
        <v>46037</v>
      </c>
      <c r="C245" s="1">
        <v>453</v>
      </c>
      <c r="D245" s="1" t="s">
        <v>49</v>
      </c>
      <c r="E245" s="1" t="s">
        <v>50</v>
      </c>
      <c r="F245" s="16">
        <v>3</v>
      </c>
      <c r="G245" s="16" t="s">
        <v>30</v>
      </c>
      <c r="H245" s="16" t="s">
        <v>31</v>
      </c>
      <c r="I245" s="16" t="s">
        <v>32</v>
      </c>
      <c r="J245" s="1"/>
      <c r="K245" s="1" t="s">
        <v>46</v>
      </c>
    </row>
    <row r="246" ht="15" customHeight="1">
      <c r="B246" s="24">
        <v>46044</v>
      </c>
      <c r="C246" s="1">
        <v>394</v>
      </c>
      <c r="D246" s="1" t="s">
        <v>49</v>
      </c>
      <c r="E246" s="1" t="s">
        <v>50</v>
      </c>
      <c r="F246" s="16">
        <v>3</v>
      </c>
      <c r="G246" s="16" t="s">
        <v>30</v>
      </c>
      <c r="H246" s="16" t="s">
        <v>31</v>
      </c>
      <c r="I246" s="16" t="s">
        <v>32</v>
      </c>
      <c r="J246" s="1"/>
      <c r="K246" s="1" t="s">
        <v>46</v>
      </c>
    </row>
    <row r="247" ht="15" customHeight="1">
      <c r="B247" s="24">
        <v>46051</v>
      </c>
      <c r="C247" s="1">
        <v>410</v>
      </c>
      <c r="D247" s="1" t="s">
        <v>49</v>
      </c>
      <c r="E247" s="1" t="s">
        <v>50</v>
      </c>
      <c r="F247" s="16">
        <v>3</v>
      </c>
      <c r="G247" s="16" t="s">
        <v>30</v>
      </c>
      <c r="H247" s="16" t="s">
        <v>31</v>
      </c>
      <c r="I247" s="16" t="s">
        <v>32</v>
      </c>
      <c r="J247" s="1"/>
      <c r="K247" s="1" t="s">
        <v>46</v>
      </c>
    </row>
    <row r="248" ht="15" customHeight="1">
      <c r="B248" s="24">
        <v>46058</v>
      </c>
      <c r="C248" s="1">
        <v>310</v>
      </c>
      <c r="D248" s="1" t="s">
        <v>49</v>
      </c>
      <c r="E248" s="1" t="s">
        <v>50</v>
      </c>
      <c r="F248" s="16">
        <v>3</v>
      </c>
      <c r="G248" s="16" t="s">
        <v>30</v>
      </c>
      <c r="H248" s="16" t="s">
        <v>31</v>
      </c>
      <c r="I248" s="16" t="s">
        <v>32</v>
      </c>
      <c r="J248" s="1"/>
      <c r="K248" s="1" t="s">
        <v>46</v>
      </c>
    </row>
    <row r="249" ht="15" customHeight="1">
      <c r="B249" s="24">
        <v>46065</v>
      </c>
      <c r="C249" s="1">
        <v>402</v>
      </c>
      <c r="D249" s="1" t="s">
        <v>49</v>
      </c>
      <c r="E249" s="1" t="s">
        <v>50</v>
      </c>
      <c r="F249" s="16">
        <v>3</v>
      </c>
      <c r="G249" s="16" t="s">
        <v>30</v>
      </c>
      <c r="H249" s="16" t="s">
        <v>31</v>
      </c>
      <c r="I249" s="16" t="s">
        <v>32</v>
      </c>
      <c r="J249" s="1"/>
      <c r="K249" s="1" t="s">
        <v>46</v>
      </c>
    </row>
    <row r="250" ht="15" customHeight="1">
      <c r="B250" s="24">
        <v>46072</v>
      </c>
      <c r="C250" s="1">
        <v>333</v>
      </c>
      <c r="D250" s="1" t="s">
        <v>49</v>
      </c>
      <c r="E250" s="1" t="s">
        <v>50</v>
      </c>
      <c r="F250" s="16">
        <v>3</v>
      </c>
      <c r="G250" s="16" t="s">
        <v>30</v>
      </c>
      <c r="H250" s="16" t="s">
        <v>31</v>
      </c>
      <c r="I250" s="16" t="s">
        <v>32</v>
      </c>
      <c r="J250" s="1"/>
      <c r="K250" s="1" t="s">
        <v>46</v>
      </c>
    </row>
    <row r="251" ht="15" customHeight="1">
      <c r="B251" s="24">
        <v>46079</v>
      </c>
      <c r="C251" s="1">
        <v>247</v>
      </c>
      <c r="D251" s="1" t="s">
        <v>49</v>
      </c>
      <c r="E251" s="1" t="s">
        <v>50</v>
      </c>
      <c r="F251" s="16">
        <v>3</v>
      </c>
      <c r="G251" s="16" t="s">
        <v>30</v>
      </c>
      <c r="H251" s="16" t="s">
        <v>31</v>
      </c>
      <c r="I251" s="16" t="s">
        <v>32</v>
      </c>
      <c r="J251" s="1"/>
      <c r="K251" s="1" t="s">
        <v>46</v>
      </c>
    </row>
    <row r="252" ht="15" customHeight="1">
      <c r="B252" s="24">
        <v>46086</v>
      </c>
      <c r="C252" s="1">
        <v>265</v>
      </c>
      <c r="D252" s="1" t="s">
        <v>49</v>
      </c>
      <c r="E252" s="1" t="s">
        <v>50</v>
      </c>
      <c r="F252" s="16">
        <v>3</v>
      </c>
      <c r="G252" s="16" t="s">
        <v>30</v>
      </c>
      <c r="H252" s="16" t="s">
        <v>31</v>
      </c>
      <c r="I252" s="16" t="s">
        <v>32</v>
      </c>
      <c r="J252" s="1"/>
      <c r="K252" s="1" t="s">
        <v>46</v>
      </c>
    </row>
    <row r="253" ht="15" customHeight="1">
      <c r="B253" s="24">
        <v>46093</v>
      </c>
      <c r="C253" s="1">
        <v>315</v>
      </c>
      <c r="D253" s="1" t="s">
        <v>49</v>
      </c>
      <c r="E253" s="1" t="s">
        <v>50</v>
      </c>
      <c r="F253" s="16">
        <v>3</v>
      </c>
      <c r="G253" s="16" t="s">
        <v>30</v>
      </c>
      <c r="H253" s="16" t="s">
        <v>31</v>
      </c>
      <c r="I253" s="16" t="s">
        <v>32</v>
      </c>
      <c r="J253" s="1"/>
      <c r="K253" s="1" t="s">
        <v>46</v>
      </c>
    </row>
    <row r="254" ht="15" customHeight="1">
      <c r="B254" s="24">
        <v>46100</v>
      </c>
      <c r="C254" s="1">
        <v>376</v>
      </c>
      <c r="D254" s="1" t="s">
        <v>49</v>
      </c>
      <c r="E254" s="1" t="s">
        <v>50</v>
      </c>
      <c r="F254" s="16">
        <v>3</v>
      </c>
      <c r="G254" s="16" t="s">
        <v>30</v>
      </c>
      <c r="H254" s="16" t="s">
        <v>31</v>
      </c>
      <c r="I254" s="16" t="s">
        <v>32</v>
      </c>
      <c r="J254" s="1"/>
      <c r="K254" s="1" t="s">
        <v>46</v>
      </c>
    </row>
    <row r="255" ht="15" customHeight="1">
      <c r="B255" s="24">
        <v>46107</v>
      </c>
      <c r="C255" s="1">
        <v>372</v>
      </c>
      <c r="D255" s="1" t="s">
        <v>49</v>
      </c>
      <c r="E255" s="1" t="s">
        <v>50</v>
      </c>
      <c r="F255" s="16">
        <v>3</v>
      </c>
      <c r="G255" s="16" t="s">
        <v>30</v>
      </c>
      <c r="H255" s="16" t="s">
        <v>31</v>
      </c>
      <c r="I255" s="16" t="s">
        <v>32</v>
      </c>
      <c r="J255" s="1"/>
      <c r="K255" s="1" t="s">
        <v>46</v>
      </c>
    </row>
    <row r="256" ht="15" customHeight="1">
      <c r="B256" s="24">
        <v>46114</v>
      </c>
      <c r="C256" s="1">
        <v>275</v>
      </c>
      <c r="D256" s="1" t="s">
        <v>49</v>
      </c>
      <c r="E256" s="1" t="s">
        <v>50</v>
      </c>
      <c r="F256" s="16">
        <v>3</v>
      </c>
      <c r="G256" s="16" t="s">
        <v>30</v>
      </c>
      <c r="H256" s="16" t="s">
        <v>31</v>
      </c>
      <c r="I256" s="16" t="s">
        <v>32</v>
      </c>
      <c r="J256" s="1"/>
      <c r="K256" s="1" t="s">
        <v>46</v>
      </c>
    </row>
    <row r="257" ht="15" customHeight="1">
      <c r="B257" s="24">
        <v>46121</v>
      </c>
      <c r="C257" s="29">
        <v>294</v>
      </c>
      <c r="D257" s="1" t="s">
        <v>49</v>
      </c>
      <c r="E257" s="1" t="s">
        <v>50</v>
      </c>
      <c r="F257" s="16">
        <v>3</v>
      </c>
      <c r="G257" s="16" t="s">
        <v>30</v>
      </c>
      <c r="H257" s="16" t="s">
        <v>31</v>
      </c>
      <c r="I257" s="16" t="s">
        <v>32</v>
      </c>
      <c r="J257" s="1"/>
      <c r="K257" s="1" t="s">
        <v>46</v>
      </c>
    </row>
    <row r="258" ht="15" customHeight="1">
      <c r="B258" s="24">
        <v>45897</v>
      </c>
      <c r="C258" s="28">
        <v>1.5266903914590748</v>
      </c>
      <c r="D258" s="1" t="s">
        <v>51</v>
      </c>
      <c r="E258" s="1" t="s">
        <v>52</v>
      </c>
      <c r="F258" s="16">
        <v>3</v>
      </c>
      <c r="G258" s="16" t="s">
        <v>31</v>
      </c>
      <c r="H258" s="16" t="s">
        <v>31</v>
      </c>
      <c r="I258" s="16" t="s">
        <v>32</v>
      </c>
      <c r="J258" s="1"/>
      <c r="K258" s="1" t="s">
        <v>46</v>
      </c>
    </row>
    <row r="259" ht="15" customHeight="1">
      <c r="B259" s="24">
        <v>45904</v>
      </c>
      <c r="C259" s="28">
        <v>1.6928571428571428</v>
      </c>
      <c r="D259" s="1" t="s">
        <v>51</v>
      </c>
      <c r="E259" s="1" t="s">
        <v>52</v>
      </c>
      <c r="F259" s="16">
        <v>3</v>
      </c>
      <c r="G259" s="16" t="s">
        <v>31</v>
      </c>
      <c r="H259" s="16" t="s">
        <v>31</v>
      </c>
      <c r="I259" s="16" t="s">
        <v>32</v>
      </c>
      <c r="J259" s="1"/>
      <c r="K259" s="1" t="s">
        <v>46</v>
      </c>
    </row>
    <row r="260" ht="15" customHeight="1">
      <c r="B260" s="24">
        <v>45911</v>
      </c>
      <c r="C260" s="28">
        <v>1.9431818181818181</v>
      </c>
      <c r="D260" s="1" t="s">
        <v>51</v>
      </c>
      <c r="E260" s="1" t="s">
        <v>52</v>
      </c>
      <c r="F260" s="16">
        <v>3</v>
      </c>
      <c r="G260" s="16" t="s">
        <v>31</v>
      </c>
      <c r="H260" s="16" t="s">
        <v>31</v>
      </c>
      <c r="I260" s="16" t="s">
        <v>32</v>
      </c>
      <c r="J260" s="1"/>
      <c r="K260" s="1" t="s">
        <v>46</v>
      </c>
    </row>
    <row r="261" ht="15" customHeight="1">
      <c r="B261" s="24">
        <v>45918</v>
      </c>
      <c r="C261" s="28">
        <v>2.0459770114942528</v>
      </c>
      <c r="D261" s="1" t="s">
        <v>51</v>
      </c>
      <c r="E261" s="1" t="s">
        <v>52</v>
      </c>
      <c r="F261" s="16">
        <v>3</v>
      </c>
      <c r="G261" s="16" t="s">
        <v>31</v>
      </c>
      <c r="H261" s="16" t="s">
        <v>31</v>
      </c>
      <c r="I261" s="16" t="s">
        <v>32</v>
      </c>
      <c r="J261" s="1"/>
      <c r="K261" s="1" t="s">
        <v>46</v>
      </c>
    </row>
    <row r="262" ht="15" customHeight="1">
      <c r="B262" s="24">
        <v>45925</v>
      </c>
      <c r="C262" s="28">
        <v>2.3145937499999998</v>
      </c>
      <c r="D262" s="1" t="s">
        <v>51</v>
      </c>
      <c r="E262" s="1" t="s">
        <v>52</v>
      </c>
      <c r="F262" s="16">
        <v>3</v>
      </c>
      <c r="G262" s="16" t="s">
        <v>31</v>
      </c>
      <c r="H262" s="16" t="s">
        <v>31</v>
      </c>
      <c r="I262" s="16" t="s">
        <v>32</v>
      </c>
      <c r="J262" s="1"/>
      <c r="K262" s="1" t="s">
        <v>46</v>
      </c>
    </row>
    <row r="263" ht="15" customHeight="1">
      <c r="B263" s="24">
        <v>45932</v>
      </c>
      <c r="C263" s="28">
        <v>2.4018584070796458</v>
      </c>
      <c r="D263" s="1" t="s">
        <v>51</v>
      </c>
      <c r="E263" s="1" t="s">
        <v>52</v>
      </c>
      <c r="F263" s="16">
        <v>3</v>
      </c>
      <c r="G263" s="16" t="s">
        <v>31</v>
      </c>
      <c r="H263" s="16" t="s">
        <v>31</v>
      </c>
      <c r="I263" s="16" t="s">
        <v>32</v>
      </c>
      <c r="J263" s="1"/>
      <c r="K263" s="1" t="s">
        <v>46</v>
      </c>
    </row>
    <row r="264" ht="15" customHeight="1">
      <c r="B264" s="24">
        <v>45939</v>
      </c>
      <c r="C264" s="28">
        <v>2.5117346938775515</v>
      </c>
      <c r="D264" s="1" t="s">
        <v>51</v>
      </c>
      <c r="E264" s="1" t="s">
        <v>52</v>
      </c>
      <c r="F264" s="16">
        <v>3</v>
      </c>
      <c r="G264" s="16" t="s">
        <v>31</v>
      </c>
      <c r="H264" s="16" t="s">
        <v>31</v>
      </c>
      <c r="I264" s="16" t="s">
        <v>32</v>
      </c>
      <c r="J264" s="1"/>
      <c r="K264" s="1" t="s">
        <v>46</v>
      </c>
    </row>
    <row r="265" ht="15" customHeight="1">
      <c r="B265" s="24">
        <v>45946</v>
      </c>
      <c r="C265" s="28">
        <v>2.5279374999999997</v>
      </c>
      <c r="D265" s="1" t="s">
        <v>51</v>
      </c>
      <c r="E265" s="1" t="s">
        <v>52</v>
      </c>
      <c r="F265" s="16">
        <v>3</v>
      </c>
      <c r="G265" s="16" t="s">
        <v>31</v>
      </c>
      <c r="H265" s="16" t="s">
        <v>31</v>
      </c>
      <c r="I265" s="16" t="s">
        <v>32</v>
      </c>
      <c r="J265" s="1"/>
      <c r="K265" s="1" t="s">
        <v>46</v>
      </c>
    </row>
    <row r="266" ht="15" customHeight="1">
      <c r="B266" s="24">
        <v>45953</v>
      </c>
      <c r="C266" s="28">
        <v>2.5904792332268367</v>
      </c>
      <c r="D266" s="1" t="s">
        <v>51</v>
      </c>
      <c r="E266" s="1" t="s">
        <v>52</v>
      </c>
      <c r="F266" s="16">
        <v>3</v>
      </c>
      <c r="G266" s="16" t="s">
        <v>31</v>
      </c>
      <c r="H266" s="16" t="s">
        <v>31</v>
      </c>
      <c r="I266" s="16" t="s">
        <v>32</v>
      </c>
      <c r="J266" s="1"/>
      <c r="K266" s="1" t="s">
        <v>46</v>
      </c>
    </row>
    <row r="267" ht="15" customHeight="1">
      <c r="B267" s="24">
        <v>45960</v>
      </c>
      <c r="C267" s="28">
        <v>2.7547115384615384</v>
      </c>
      <c r="D267" s="1" t="s">
        <v>51</v>
      </c>
      <c r="E267" s="1" t="s">
        <v>52</v>
      </c>
      <c r="F267" s="16">
        <v>3</v>
      </c>
      <c r="G267" s="16" t="s">
        <v>31</v>
      </c>
      <c r="H267" s="16" t="s">
        <v>31</v>
      </c>
      <c r="I267" s="16" t="s">
        <v>32</v>
      </c>
      <c r="J267" s="1"/>
      <c r="K267" s="1" t="s">
        <v>46</v>
      </c>
    </row>
    <row r="268" ht="15" customHeight="1">
      <c r="B268" s="24">
        <v>45967</v>
      </c>
      <c r="C268" s="28">
        <v>2.6561558441558444</v>
      </c>
      <c r="D268" s="1" t="s">
        <v>51</v>
      </c>
      <c r="E268" s="1" t="s">
        <v>52</v>
      </c>
      <c r="F268" s="16">
        <v>3</v>
      </c>
      <c r="G268" s="16" t="s">
        <v>31</v>
      </c>
      <c r="H268" s="16" t="s">
        <v>31</v>
      </c>
      <c r="I268" s="16" t="s">
        <v>32</v>
      </c>
      <c r="J268" s="1"/>
      <c r="K268" s="1" t="s">
        <v>46</v>
      </c>
    </row>
    <row r="269" ht="15" customHeight="1">
      <c r="B269" s="24">
        <v>45974</v>
      </c>
      <c r="C269" s="28">
        <v>2.8095633187772928</v>
      </c>
      <c r="D269" s="1" t="s">
        <v>51</v>
      </c>
      <c r="E269" s="1" t="s">
        <v>52</v>
      </c>
      <c r="F269" s="16">
        <v>3</v>
      </c>
      <c r="G269" s="16" t="s">
        <v>31</v>
      </c>
      <c r="H269" s="16" t="s">
        <v>31</v>
      </c>
      <c r="I269" s="16" t="s">
        <v>32</v>
      </c>
      <c r="J269" s="1"/>
      <c r="K269" s="1" t="s">
        <v>46</v>
      </c>
    </row>
    <row r="270" ht="15" customHeight="1">
      <c r="B270" s="24">
        <v>45981</v>
      </c>
      <c r="C270" s="28">
        <v>2.9073437500000012</v>
      </c>
      <c r="D270" s="1" t="s">
        <v>51</v>
      </c>
      <c r="E270" s="1" t="s">
        <v>52</v>
      </c>
      <c r="F270" s="16">
        <v>3</v>
      </c>
      <c r="G270" s="16" t="s">
        <v>31</v>
      </c>
      <c r="H270" s="16" t="s">
        <v>31</v>
      </c>
      <c r="I270" s="16" t="s">
        <v>32</v>
      </c>
      <c r="J270" s="1"/>
      <c r="K270" s="1" t="s">
        <v>46</v>
      </c>
    </row>
    <row r="271" ht="15" customHeight="1">
      <c r="B271" s="24">
        <v>45988</v>
      </c>
      <c r="C271" s="28">
        <v>2.9228486646884271</v>
      </c>
      <c r="D271" s="1" t="s">
        <v>51</v>
      </c>
      <c r="E271" s="1" t="s">
        <v>52</v>
      </c>
      <c r="F271" s="16">
        <v>3</v>
      </c>
      <c r="G271" s="16" t="s">
        <v>31</v>
      </c>
      <c r="H271" s="16" t="s">
        <v>31</v>
      </c>
      <c r="I271" s="16" t="s">
        <v>32</v>
      </c>
      <c r="J271" s="1"/>
      <c r="K271" s="1" t="s">
        <v>46</v>
      </c>
    </row>
    <row r="272" ht="15" customHeight="1">
      <c r="B272" s="24">
        <v>45995</v>
      </c>
      <c r="C272" s="28">
        <v>2.8106666666666666</v>
      </c>
      <c r="D272" s="1" t="s">
        <v>51</v>
      </c>
      <c r="E272" s="1" t="s">
        <v>52</v>
      </c>
      <c r="F272" s="16">
        <v>3</v>
      </c>
      <c r="G272" s="16" t="s">
        <v>31</v>
      </c>
      <c r="H272" s="16" t="s">
        <v>31</v>
      </c>
      <c r="I272" s="16" t="s">
        <v>32</v>
      </c>
      <c r="J272" s="1"/>
      <c r="K272" s="1" t="s">
        <v>46</v>
      </c>
    </row>
    <row r="273" ht="15" customHeight="1">
      <c r="B273" s="24">
        <v>46002</v>
      </c>
      <c r="C273" s="28">
        <v>2.3310344827586209</v>
      </c>
      <c r="D273" s="1" t="s">
        <v>51</v>
      </c>
      <c r="E273" s="1" t="s">
        <v>52</v>
      </c>
      <c r="F273" s="16">
        <v>3</v>
      </c>
      <c r="G273" s="16" t="s">
        <v>31</v>
      </c>
      <c r="H273" s="16" t="s">
        <v>31</v>
      </c>
      <c r="I273" s="16" t="s">
        <v>32</v>
      </c>
      <c r="J273" s="1"/>
      <c r="K273" s="1" t="s">
        <v>46</v>
      </c>
    </row>
    <row r="274" ht="15" customHeight="1">
      <c r="B274" s="24">
        <v>46009</v>
      </c>
      <c r="C274" s="28">
        <v>2.2236559139784946</v>
      </c>
      <c r="D274" s="1" t="s">
        <v>51</v>
      </c>
      <c r="E274" s="1" t="s">
        <v>52</v>
      </c>
      <c r="F274" s="16">
        <v>3</v>
      </c>
      <c r="G274" s="16" t="s">
        <v>31</v>
      </c>
      <c r="H274" s="16" t="s">
        <v>31</v>
      </c>
      <c r="I274" s="16" t="s">
        <v>32</v>
      </c>
      <c r="J274" s="1"/>
      <c r="K274" s="1" t="s">
        <v>46</v>
      </c>
    </row>
    <row r="275" ht="15" customHeight="1">
      <c r="B275" s="24">
        <v>46016</v>
      </c>
      <c r="C275" s="28">
        <v>2.2649006622516556</v>
      </c>
      <c r="D275" s="1" t="s">
        <v>51</v>
      </c>
      <c r="E275" s="1" t="s">
        <v>52</v>
      </c>
      <c r="F275" s="16">
        <v>3</v>
      </c>
      <c r="G275" s="16" t="s">
        <v>31</v>
      </c>
      <c r="H275" s="16" t="s">
        <v>31</v>
      </c>
      <c r="I275" s="16" t="s">
        <v>32</v>
      </c>
      <c r="J275" s="1"/>
      <c r="K275" s="1" t="s">
        <v>46</v>
      </c>
    </row>
    <row r="276" ht="15" customHeight="1">
      <c r="B276" s="24">
        <v>46037</v>
      </c>
      <c r="C276" s="28">
        <v>1.6812977099236641</v>
      </c>
      <c r="D276" s="1" t="s">
        <v>51</v>
      </c>
      <c r="E276" s="1" t="s">
        <v>52</v>
      </c>
      <c r="F276" s="16">
        <v>3</v>
      </c>
      <c r="G276" s="16" t="s">
        <v>31</v>
      </c>
      <c r="H276" s="16" t="s">
        <v>31</v>
      </c>
      <c r="I276" s="16" t="s">
        <v>32</v>
      </c>
      <c r="J276" s="1"/>
      <c r="K276" s="1" t="s">
        <v>46</v>
      </c>
    </row>
    <row r="277" ht="15" customHeight="1">
      <c r="B277" s="24">
        <v>46044</v>
      </c>
      <c r="C277" s="28">
        <v>1.9808795411089866</v>
      </c>
      <c r="D277" s="1" t="s">
        <v>51</v>
      </c>
      <c r="E277" s="1" t="s">
        <v>52</v>
      </c>
      <c r="F277" s="16">
        <v>3</v>
      </c>
      <c r="G277" s="16" t="s">
        <v>31</v>
      </c>
      <c r="H277" s="16" t="s">
        <v>31</v>
      </c>
      <c r="I277" s="16" t="s">
        <v>32</v>
      </c>
      <c r="J277" s="1"/>
      <c r="K277" s="1" t="s">
        <v>46</v>
      </c>
    </row>
    <row r="278" ht="15" customHeight="1">
      <c r="B278" s="24">
        <v>46051</v>
      </c>
      <c r="C278" s="28">
        <v>2.0321199143468949</v>
      </c>
      <c r="D278" s="1" t="s">
        <v>51</v>
      </c>
      <c r="E278" s="1" t="s">
        <v>52</v>
      </c>
      <c r="F278" s="16">
        <v>3</v>
      </c>
      <c r="G278" s="16" t="s">
        <v>31</v>
      </c>
      <c r="H278" s="16" t="s">
        <v>31</v>
      </c>
      <c r="I278" s="16" t="s">
        <v>32</v>
      </c>
      <c r="J278" s="1"/>
      <c r="K278" s="1" t="s">
        <v>46</v>
      </c>
    </row>
    <row r="279" ht="15" customHeight="1">
      <c r="B279" s="24">
        <v>46058</v>
      </c>
      <c r="C279" s="28">
        <v>2.8915333333333328</v>
      </c>
      <c r="D279" s="1" t="s">
        <v>51</v>
      </c>
      <c r="E279" s="1" t="s">
        <v>52</v>
      </c>
      <c r="F279" s="16">
        <v>3</v>
      </c>
      <c r="G279" s="16" t="s">
        <v>31</v>
      </c>
      <c r="H279" s="16" t="s">
        <v>31</v>
      </c>
      <c r="I279" s="16" t="s">
        <v>32</v>
      </c>
      <c r="J279" s="1"/>
      <c r="K279" s="1" t="s">
        <v>46</v>
      </c>
    </row>
    <row r="280" ht="15" customHeight="1">
      <c r="B280" s="24">
        <v>46065</v>
      </c>
      <c r="C280" s="28">
        <v>3.0432735426008968</v>
      </c>
      <c r="D280" s="1" t="s">
        <v>51</v>
      </c>
      <c r="E280" s="1" t="s">
        <v>52</v>
      </c>
      <c r="F280" s="16">
        <v>3</v>
      </c>
      <c r="G280" s="16" t="s">
        <v>31</v>
      </c>
      <c r="H280" s="16" t="s">
        <v>31</v>
      </c>
      <c r="I280" s="16" t="s">
        <v>32</v>
      </c>
      <c r="J280" s="1"/>
      <c r="K280" s="1" t="s">
        <v>46</v>
      </c>
    </row>
    <row r="281" ht="15" customHeight="1">
      <c r="B281" s="24">
        <v>46072</v>
      </c>
      <c r="C281" s="28">
        <v>2.8772069825436408</v>
      </c>
      <c r="D281" s="1" t="s">
        <v>51</v>
      </c>
      <c r="E281" s="1" t="s">
        <v>52</v>
      </c>
      <c r="F281" s="16">
        <v>3</v>
      </c>
      <c r="G281" s="16" t="s">
        <v>31</v>
      </c>
      <c r="H281" s="16" t="s">
        <v>31</v>
      </c>
      <c r="I281" s="16" t="s">
        <v>32</v>
      </c>
      <c r="J281" s="1"/>
      <c r="K281" s="1" t="s">
        <v>46</v>
      </c>
    </row>
    <row r="282" ht="15" customHeight="1">
      <c r="B282" s="24">
        <v>46079</v>
      </c>
      <c r="C282" s="28">
        <v>2.3885350318471339</v>
      </c>
      <c r="D282" s="1" t="s">
        <v>51</v>
      </c>
      <c r="E282" s="1" t="s">
        <v>52</v>
      </c>
      <c r="F282" s="16">
        <v>3</v>
      </c>
      <c r="G282" s="16" t="s">
        <v>31</v>
      </c>
      <c r="H282" s="16" t="s">
        <v>31</v>
      </c>
      <c r="I282" s="16" t="s">
        <v>32</v>
      </c>
      <c r="J282" s="1"/>
      <c r="K282" s="1" t="s">
        <v>46</v>
      </c>
    </row>
    <row r="283" ht="15" customHeight="1">
      <c r="B283" s="24">
        <v>46086</v>
      </c>
      <c r="C283" s="28">
        <v>1.9196891191709844</v>
      </c>
      <c r="D283" s="1" t="s">
        <v>51</v>
      </c>
      <c r="E283" s="1" t="s">
        <v>52</v>
      </c>
      <c r="F283" s="16">
        <v>3</v>
      </c>
      <c r="G283" s="16" t="s">
        <v>31</v>
      </c>
      <c r="H283" s="16" t="s">
        <v>31</v>
      </c>
      <c r="I283" s="16" t="s">
        <v>32</v>
      </c>
      <c r="J283" s="1"/>
      <c r="K283" s="1" t="s">
        <v>46</v>
      </c>
    </row>
    <row r="284" ht="15" customHeight="1">
      <c r="B284" s="24">
        <v>46093</v>
      </c>
      <c r="C284" s="28">
        <v>2.481012658227848</v>
      </c>
      <c r="D284" s="1" t="s">
        <v>51</v>
      </c>
      <c r="E284" s="1" t="s">
        <v>52</v>
      </c>
      <c r="F284" s="16">
        <v>3</v>
      </c>
      <c r="G284" s="16" t="s">
        <v>31</v>
      </c>
      <c r="H284" s="16" t="s">
        <v>31</v>
      </c>
      <c r="I284" s="16" t="s">
        <v>32</v>
      </c>
      <c r="J284" s="1"/>
      <c r="K284" s="1" t="s">
        <v>46</v>
      </c>
    </row>
    <row r="285" ht="15" customHeight="1">
      <c r="B285" s="24">
        <v>46100</v>
      </c>
      <c r="C285" s="28">
        <v>1.7671232876712328</v>
      </c>
      <c r="D285" s="1" t="s">
        <v>51</v>
      </c>
      <c r="E285" s="1" t="s">
        <v>52</v>
      </c>
      <c r="F285" s="16">
        <v>3</v>
      </c>
      <c r="G285" s="16" t="s">
        <v>31</v>
      </c>
      <c r="H285" s="16" t="s">
        <v>31</v>
      </c>
      <c r="I285" s="16" t="s">
        <v>32</v>
      </c>
      <c r="J285" s="1"/>
      <c r="K285" s="1" t="s">
        <v>46</v>
      </c>
    </row>
    <row r="286" ht="15" customHeight="1">
      <c r="B286" s="24">
        <v>46107</v>
      </c>
      <c r="C286" s="28">
        <v>2.2077922077922079</v>
      </c>
      <c r="D286" s="1" t="s">
        <v>51</v>
      </c>
      <c r="E286" s="1" t="s">
        <v>52</v>
      </c>
      <c r="F286" s="16">
        <v>3</v>
      </c>
      <c r="G286" s="16" t="s">
        <v>31</v>
      </c>
      <c r="H286" s="16" t="s">
        <v>31</v>
      </c>
      <c r="I286" s="16" t="s">
        <v>32</v>
      </c>
      <c r="J286" s="1"/>
      <c r="K286" s="1" t="s">
        <v>46</v>
      </c>
    </row>
    <row r="287" ht="15" customHeight="1">
      <c r="B287" s="24">
        <v>46114</v>
      </c>
      <c r="C287" s="28">
        <v>1.9816272965879265</v>
      </c>
      <c r="D287" s="1" t="s">
        <v>51</v>
      </c>
      <c r="E287" s="1" t="s">
        <v>52</v>
      </c>
      <c r="F287" s="16">
        <v>3</v>
      </c>
      <c r="G287" s="16" t="s">
        <v>31</v>
      </c>
      <c r="H287" s="16" t="s">
        <v>31</v>
      </c>
      <c r="I287" s="16" t="s">
        <v>32</v>
      </c>
      <c r="J287" s="1"/>
      <c r="K287" s="1" t="s">
        <v>46</v>
      </c>
    </row>
    <row r="288" ht="15" customHeight="1">
      <c r="B288" s="24">
        <v>46121</v>
      </c>
      <c r="C288" s="28">
        <v>2.10803324099723</v>
      </c>
      <c r="D288" s="1" t="s">
        <v>51</v>
      </c>
      <c r="E288" s="1" t="s">
        <v>52</v>
      </c>
      <c r="F288" s="16">
        <v>3</v>
      </c>
      <c r="G288" s="16" t="s">
        <v>31</v>
      </c>
      <c r="H288" s="16" t="s">
        <v>31</v>
      </c>
      <c r="I288" s="16" t="s">
        <v>32</v>
      </c>
      <c r="J288" s="1"/>
      <c r="K288" s="1" t="s">
        <v>46</v>
      </c>
    </row>
    <row r="289" ht="15" customHeight="1">
      <c r="B289" s="24">
        <v>45810</v>
      </c>
      <c r="C289" s="30">
        <v>31</v>
      </c>
      <c r="D289" s="31" t="s">
        <v>53</v>
      </c>
      <c r="E289" s="31" t="s">
        <v>54</v>
      </c>
      <c r="F289" s="16">
        <v>1</v>
      </c>
      <c r="G289" s="16" t="s">
        <v>30</v>
      </c>
      <c r="H289" s="16" t="s">
        <v>31</v>
      </c>
      <c r="I289" s="16" t="s">
        <v>32</v>
      </c>
      <c r="K289" s="16"/>
    </row>
    <row r="290" ht="15" customHeight="1">
      <c r="B290" s="24">
        <v>45840</v>
      </c>
      <c r="C290" s="30">
        <v>34</v>
      </c>
      <c r="D290" s="31" t="s">
        <v>53</v>
      </c>
      <c r="E290" s="31" t="s">
        <v>54</v>
      </c>
      <c r="F290" s="32">
        <v>1</v>
      </c>
      <c r="G290" s="32" t="s">
        <v>30</v>
      </c>
      <c r="H290" s="32" t="s">
        <v>31</v>
      </c>
      <c r="I290" s="32" t="s">
        <v>32</v>
      </c>
      <c r="K290" s="16"/>
    </row>
    <row r="291" ht="15" customHeight="1">
      <c r="B291" s="24">
        <v>45897</v>
      </c>
      <c r="C291" s="30">
        <v>34</v>
      </c>
      <c r="D291" s="33" t="s">
        <v>53</v>
      </c>
      <c r="E291" s="33" t="s">
        <v>54</v>
      </c>
      <c r="F291" s="16">
        <v>1</v>
      </c>
      <c r="G291" s="16" t="s">
        <v>30</v>
      </c>
      <c r="H291" s="16" t="s">
        <v>31</v>
      </c>
      <c r="I291" s="16" t="s">
        <v>32</v>
      </c>
      <c r="J291" s="16"/>
    </row>
    <row r="292" ht="15" customHeight="1">
      <c r="B292" s="24">
        <v>45904</v>
      </c>
      <c r="C292" s="30">
        <v>34</v>
      </c>
      <c r="D292" s="33" t="s">
        <v>53</v>
      </c>
      <c r="E292" s="33" t="s">
        <v>54</v>
      </c>
      <c r="F292" s="16">
        <v>1</v>
      </c>
      <c r="G292" s="16" t="s">
        <v>30</v>
      </c>
      <c r="H292" s="16" t="s">
        <v>31</v>
      </c>
      <c r="I292" s="16" t="s">
        <v>32</v>
      </c>
    </row>
    <row r="293" ht="15" customHeight="1">
      <c r="B293" s="24">
        <v>45911</v>
      </c>
      <c r="C293" s="30">
        <v>34</v>
      </c>
      <c r="D293" s="33" t="s">
        <v>53</v>
      </c>
      <c r="E293" s="33" t="s">
        <v>54</v>
      </c>
      <c r="F293" s="16">
        <v>1</v>
      </c>
      <c r="G293" s="16" t="s">
        <v>30</v>
      </c>
      <c r="H293" s="16" t="s">
        <v>31</v>
      </c>
      <c r="I293" s="16" t="s">
        <v>32</v>
      </c>
    </row>
    <row r="294" ht="15" customHeight="1">
      <c r="B294" s="24">
        <v>45918</v>
      </c>
      <c r="C294" s="30">
        <v>34</v>
      </c>
      <c r="D294" s="33" t="s">
        <v>53</v>
      </c>
      <c r="E294" s="33" t="s">
        <v>54</v>
      </c>
      <c r="F294" s="16">
        <v>1</v>
      </c>
      <c r="G294" s="16" t="s">
        <v>30</v>
      </c>
      <c r="H294" s="16" t="s">
        <v>31</v>
      </c>
      <c r="I294" s="16" t="s">
        <v>32</v>
      </c>
    </row>
    <row r="295" ht="15" customHeight="1">
      <c r="B295" s="24">
        <v>45925</v>
      </c>
      <c r="C295" s="30">
        <v>34</v>
      </c>
      <c r="D295" s="33" t="s">
        <v>53</v>
      </c>
      <c r="E295" s="33" t="s">
        <v>54</v>
      </c>
      <c r="F295" s="16">
        <v>1</v>
      </c>
      <c r="G295" s="16" t="s">
        <v>30</v>
      </c>
      <c r="H295" s="16" t="s">
        <v>31</v>
      </c>
      <c r="I295" s="16" t="s">
        <v>32</v>
      </c>
    </row>
    <row r="296" ht="15" customHeight="1">
      <c r="B296" s="24">
        <v>45932</v>
      </c>
      <c r="C296" s="30">
        <v>34</v>
      </c>
      <c r="D296" s="33" t="s">
        <v>53</v>
      </c>
      <c r="E296" s="33" t="s">
        <v>54</v>
      </c>
      <c r="F296" s="16">
        <v>1</v>
      </c>
      <c r="G296" s="16" t="s">
        <v>30</v>
      </c>
      <c r="H296" s="16" t="s">
        <v>31</v>
      </c>
      <c r="I296" s="16" t="s">
        <v>32</v>
      </c>
    </row>
    <row r="297" ht="15" customHeight="1">
      <c r="B297" s="24">
        <v>45939</v>
      </c>
      <c r="C297" s="30">
        <v>34</v>
      </c>
      <c r="D297" s="33" t="s">
        <v>53</v>
      </c>
      <c r="E297" s="33" t="s">
        <v>54</v>
      </c>
      <c r="F297" s="16">
        <v>1</v>
      </c>
      <c r="G297" s="16" t="s">
        <v>30</v>
      </c>
      <c r="H297" s="16" t="s">
        <v>31</v>
      </c>
      <c r="I297" s="16" t="s">
        <v>32</v>
      </c>
    </row>
    <row r="298" ht="15" customHeight="1">
      <c r="B298" s="24">
        <v>45946</v>
      </c>
      <c r="C298" s="30">
        <v>34</v>
      </c>
      <c r="D298" s="33" t="s">
        <v>53</v>
      </c>
      <c r="E298" s="33" t="s">
        <v>54</v>
      </c>
      <c r="F298" s="16">
        <v>1</v>
      </c>
      <c r="G298" s="16" t="s">
        <v>30</v>
      </c>
      <c r="H298" s="16" t="s">
        <v>31</v>
      </c>
      <c r="I298" s="16" t="s">
        <v>32</v>
      </c>
    </row>
    <row r="299" ht="15" customHeight="1">
      <c r="B299" s="24">
        <v>45953</v>
      </c>
      <c r="C299" s="30">
        <v>34</v>
      </c>
      <c r="D299" s="33" t="s">
        <v>53</v>
      </c>
      <c r="E299" s="33" t="s">
        <v>54</v>
      </c>
      <c r="F299" s="16">
        <v>1</v>
      </c>
      <c r="G299" s="16" t="s">
        <v>30</v>
      </c>
      <c r="H299" s="16" t="s">
        <v>31</v>
      </c>
      <c r="I299" s="16" t="s">
        <v>32</v>
      </c>
    </row>
    <row r="300" ht="15" customHeight="1">
      <c r="B300" s="24">
        <v>45960</v>
      </c>
      <c r="C300" s="30">
        <v>34</v>
      </c>
      <c r="D300" s="33" t="s">
        <v>53</v>
      </c>
      <c r="E300" s="33" t="s">
        <v>54</v>
      </c>
      <c r="F300" s="16">
        <v>1</v>
      </c>
      <c r="G300" s="16" t="s">
        <v>30</v>
      </c>
      <c r="H300" s="16" t="s">
        <v>31</v>
      </c>
      <c r="I300" s="16" t="s">
        <v>32</v>
      </c>
    </row>
    <row r="301" ht="15" customHeight="1">
      <c r="B301" s="24">
        <v>45967</v>
      </c>
      <c r="C301" s="30">
        <v>34</v>
      </c>
      <c r="D301" s="33" t="s">
        <v>53</v>
      </c>
      <c r="E301" s="33" t="s">
        <v>54</v>
      </c>
      <c r="F301" s="16">
        <v>1</v>
      </c>
      <c r="G301" s="16" t="s">
        <v>30</v>
      </c>
      <c r="H301" s="16" t="s">
        <v>31</v>
      </c>
      <c r="I301" s="16" t="s">
        <v>32</v>
      </c>
    </row>
    <row r="302" ht="15" customHeight="1">
      <c r="B302" s="24">
        <v>45974</v>
      </c>
      <c r="C302" s="30">
        <v>34</v>
      </c>
      <c r="D302" s="33" t="s">
        <v>53</v>
      </c>
      <c r="E302" s="33" t="s">
        <v>54</v>
      </c>
      <c r="F302" s="16">
        <v>1</v>
      </c>
      <c r="G302" s="16" t="s">
        <v>30</v>
      </c>
      <c r="H302" s="16" t="s">
        <v>31</v>
      </c>
      <c r="I302" s="16" t="s">
        <v>32</v>
      </c>
    </row>
    <row r="303" ht="15" customHeight="1">
      <c r="B303" s="24">
        <v>45981</v>
      </c>
      <c r="C303" s="34">
        <v>34</v>
      </c>
      <c r="D303" s="33" t="s">
        <v>53</v>
      </c>
      <c r="E303" s="33" t="s">
        <v>54</v>
      </c>
      <c r="F303" s="16">
        <v>1</v>
      </c>
      <c r="G303" s="16" t="s">
        <v>30</v>
      </c>
      <c r="H303" s="16" t="s">
        <v>31</v>
      </c>
      <c r="I303" s="16" t="s">
        <v>32</v>
      </c>
    </row>
    <row r="304" ht="15" customHeight="1">
      <c r="B304" s="24">
        <v>45988</v>
      </c>
      <c r="C304" s="34">
        <v>36</v>
      </c>
      <c r="D304" s="33" t="s">
        <v>53</v>
      </c>
      <c r="E304" s="33" t="s">
        <v>54</v>
      </c>
      <c r="F304" s="16">
        <v>1</v>
      </c>
      <c r="G304" s="16" t="s">
        <v>30</v>
      </c>
      <c r="H304" s="16" t="s">
        <v>31</v>
      </c>
      <c r="I304" s="16" t="s">
        <v>32</v>
      </c>
    </row>
    <row r="305" ht="15" customHeight="1">
      <c r="B305" s="24">
        <v>45995</v>
      </c>
      <c r="C305" s="34">
        <v>36</v>
      </c>
      <c r="D305" s="33" t="s">
        <v>53</v>
      </c>
      <c r="E305" s="33" t="s">
        <v>54</v>
      </c>
      <c r="F305" s="16">
        <v>1</v>
      </c>
      <c r="G305" s="16" t="s">
        <v>30</v>
      </c>
      <c r="H305" s="16" t="s">
        <v>31</v>
      </c>
      <c r="I305" s="16" t="s">
        <v>32</v>
      </c>
    </row>
    <row r="306" ht="15" customHeight="1">
      <c r="B306" s="24">
        <v>46002</v>
      </c>
      <c r="C306" s="34">
        <v>36</v>
      </c>
      <c r="D306" s="33" t="s">
        <v>53</v>
      </c>
      <c r="E306" s="33" t="s">
        <v>54</v>
      </c>
      <c r="F306" s="16">
        <v>1</v>
      </c>
      <c r="G306" s="16" t="s">
        <v>30</v>
      </c>
      <c r="H306" s="16" t="s">
        <v>31</v>
      </c>
      <c r="I306" s="16" t="s">
        <v>32</v>
      </c>
    </row>
    <row r="307" ht="15" customHeight="1">
      <c r="B307" s="24">
        <v>46009</v>
      </c>
      <c r="C307" s="34">
        <v>36</v>
      </c>
      <c r="D307" s="33" t="s">
        <v>53</v>
      </c>
      <c r="E307" s="33" t="s">
        <v>54</v>
      </c>
      <c r="F307" s="16">
        <v>1</v>
      </c>
      <c r="G307" s="16" t="s">
        <v>30</v>
      </c>
      <c r="H307" s="16" t="s">
        <v>31</v>
      </c>
      <c r="I307" s="16" t="s">
        <v>32</v>
      </c>
    </row>
    <row r="308" ht="15" customHeight="1">
      <c r="B308" s="24">
        <v>46016</v>
      </c>
      <c r="C308" s="34">
        <v>36</v>
      </c>
      <c r="D308" s="33" t="s">
        <v>53</v>
      </c>
      <c r="E308" s="33" t="s">
        <v>54</v>
      </c>
      <c r="F308" s="16">
        <v>1</v>
      </c>
      <c r="G308" s="16" t="s">
        <v>30</v>
      </c>
      <c r="H308" s="16" t="s">
        <v>31</v>
      </c>
      <c r="I308" s="16" t="s">
        <v>32</v>
      </c>
    </row>
    <row r="309" ht="15" customHeight="1">
      <c r="B309" s="24">
        <v>46037</v>
      </c>
      <c r="C309" s="34">
        <v>36</v>
      </c>
      <c r="D309" s="33" t="s">
        <v>53</v>
      </c>
      <c r="E309" s="33" t="s">
        <v>54</v>
      </c>
      <c r="F309" s="16">
        <v>1</v>
      </c>
      <c r="G309" s="16" t="s">
        <v>30</v>
      </c>
      <c r="H309" s="16" t="s">
        <v>31</v>
      </c>
      <c r="I309" s="16" t="s">
        <v>32</v>
      </c>
    </row>
    <row r="310" ht="15" customHeight="1">
      <c r="B310" s="24">
        <v>46044</v>
      </c>
      <c r="C310" s="34">
        <v>36</v>
      </c>
      <c r="D310" s="33" t="s">
        <v>53</v>
      </c>
      <c r="E310" s="33" t="s">
        <v>54</v>
      </c>
      <c r="F310" s="16">
        <v>1</v>
      </c>
      <c r="G310" s="16" t="s">
        <v>30</v>
      </c>
      <c r="H310" s="16" t="s">
        <v>31</v>
      </c>
      <c r="I310" s="16" t="s">
        <v>32</v>
      </c>
    </row>
    <row r="311" ht="15" customHeight="1">
      <c r="B311" s="24">
        <v>46051</v>
      </c>
      <c r="C311" s="34">
        <v>36</v>
      </c>
      <c r="D311" s="33" t="s">
        <v>53</v>
      </c>
      <c r="E311" s="33" t="s">
        <v>54</v>
      </c>
      <c r="F311" s="16">
        <v>1</v>
      </c>
      <c r="G311" s="16" t="s">
        <v>30</v>
      </c>
      <c r="H311" s="16" t="s">
        <v>31</v>
      </c>
      <c r="I311" s="16" t="s">
        <v>32</v>
      </c>
    </row>
    <row r="312" ht="15" customHeight="1">
      <c r="B312" s="24">
        <v>46058</v>
      </c>
      <c r="C312" s="34">
        <v>36</v>
      </c>
      <c r="D312" s="33" t="s">
        <v>53</v>
      </c>
      <c r="E312" s="33" t="s">
        <v>54</v>
      </c>
      <c r="F312" s="16">
        <v>1</v>
      </c>
      <c r="G312" s="16" t="s">
        <v>30</v>
      </c>
      <c r="H312" s="16" t="s">
        <v>31</v>
      </c>
      <c r="I312" s="16" t="s">
        <v>32</v>
      </c>
    </row>
    <row r="313" ht="15" customHeight="1">
      <c r="B313" s="24">
        <v>46065</v>
      </c>
      <c r="C313" s="34">
        <v>36</v>
      </c>
      <c r="D313" s="33" t="s">
        <v>53</v>
      </c>
      <c r="E313" s="33" t="s">
        <v>54</v>
      </c>
      <c r="F313" s="16">
        <v>1</v>
      </c>
      <c r="G313" s="16" t="s">
        <v>30</v>
      </c>
      <c r="H313" s="16" t="s">
        <v>31</v>
      </c>
      <c r="I313" s="16" t="s">
        <v>32</v>
      </c>
    </row>
    <row r="314" ht="15" customHeight="1">
      <c r="B314" s="24">
        <v>46072</v>
      </c>
      <c r="C314" s="34">
        <v>36</v>
      </c>
      <c r="D314" s="33" t="s">
        <v>53</v>
      </c>
      <c r="E314" s="33" t="s">
        <v>54</v>
      </c>
      <c r="F314" s="16">
        <v>1</v>
      </c>
      <c r="G314" s="16" t="s">
        <v>30</v>
      </c>
      <c r="H314" s="16" t="s">
        <v>31</v>
      </c>
      <c r="I314" s="16" t="s">
        <v>32</v>
      </c>
    </row>
    <row r="315" ht="15" customHeight="1">
      <c r="B315" s="24">
        <v>46079</v>
      </c>
      <c r="C315" s="34">
        <v>36</v>
      </c>
      <c r="D315" s="33" t="s">
        <v>53</v>
      </c>
      <c r="E315" s="33" t="s">
        <v>54</v>
      </c>
      <c r="F315" s="16">
        <v>1</v>
      </c>
      <c r="G315" s="16" t="s">
        <v>30</v>
      </c>
      <c r="H315" s="16" t="s">
        <v>31</v>
      </c>
      <c r="I315" s="16" t="s">
        <v>32</v>
      </c>
    </row>
    <row r="316" ht="15" customHeight="1">
      <c r="B316" s="24">
        <v>46086</v>
      </c>
      <c r="C316" s="34">
        <v>36</v>
      </c>
      <c r="D316" s="33" t="s">
        <v>53</v>
      </c>
      <c r="E316" s="33" t="s">
        <v>54</v>
      </c>
      <c r="F316" s="16">
        <v>1</v>
      </c>
      <c r="G316" s="16" t="s">
        <v>30</v>
      </c>
      <c r="H316" s="16" t="s">
        <v>31</v>
      </c>
      <c r="I316" s="16" t="s">
        <v>32</v>
      </c>
    </row>
    <row r="317" ht="15" customHeight="1">
      <c r="B317" s="24">
        <v>46093</v>
      </c>
      <c r="C317" s="34">
        <v>36</v>
      </c>
      <c r="D317" s="33" t="s">
        <v>53</v>
      </c>
      <c r="E317" s="33" t="s">
        <v>54</v>
      </c>
      <c r="F317" s="16">
        <v>1</v>
      </c>
      <c r="G317" s="16" t="s">
        <v>30</v>
      </c>
      <c r="H317" s="16" t="s">
        <v>31</v>
      </c>
      <c r="I317" s="16" t="s">
        <v>32</v>
      </c>
    </row>
    <row r="318" ht="15" customHeight="1">
      <c r="B318" s="24">
        <v>46100</v>
      </c>
      <c r="C318" s="34">
        <v>36</v>
      </c>
      <c r="D318" s="33" t="s">
        <v>53</v>
      </c>
      <c r="E318" s="33" t="s">
        <v>54</v>
      </c>
      <c r="F318" s="16">
        <v>1</v>
      </c>
      <c r="G318" s="16" t="s">
        <v>30</v>
      </c>
      <c r="H318" s="16" t="s">
        <v>31</v>
      </c>
      <c r="I318" s="16" t="s">
        <v>32</v>
      </c>
    </row>
    <row r="319" ht="15" customHeight="1">
      <c r="B319" s="24">
        <v>46107</v>
      </c>
      <c r="C319" s="34">
        <v>36</v>
      </c>
      <c r="D319" s="33" t="s">
        <v>53</v>
      </c>
      <c r="E319" s="33" t="s">
        <v>54</v>
      </c>
      <c r="F319" s="16">
        <v>1</v>
      </c>
      <c r="G319" s="16" t="s">
        <v>30</v>
      </c>
      <c r="H319" s="16" t="s">
        <v>31</v>
      </c>
      <c r="I319" s="16" t="s">
        <v>32</v>
      </c>
    </row>
    <row r="320" ht="15" customHeight="1">
      <c r="B320" s="24">
        <v>46114</v>
      </c>
      <c r="C320" s="34">
        <v>36</v>
      </c>
      <c r="D320" s="33" t="s">
        <v>53</v>
      </c>
      <c r="E320" s="33" t="s">
        <v>54</v>
      </c>
      <c r="F320" s="16">
        <v>1</v>
      </c>
      <c r="G320" s="16" t="s">
        <v>30</v>
      </c>
      <c r="H320" s="16" t="s">
        <v>31</v>
      </c>
      <c r="I320" s="16" t="s">
        <v>32</v>
      </c>
    </row>
    <row r="321" ht="15" customHeight="1">
      <c r="B321" s="24">
        <v>46121</v>
      </c>
      <c r="C321" s="34">
        <v>36</v>
      </c>
      <c r="D321" s="33" t="s">
        <v>53</v>
      </c>
      <c r="E321" s="33" t="s">
        <v>54</v>
      </c>
      <c r="F321" s="16">
        <v>1</v>
      </c>
      <c r="G321" s="16" t="s">
        <v>30</v>
      </c>
      <c r="H321" s="16" t="s">
        <v>31</v>
      </c>
      <c r="I321" s="16" t="s">
        <v>32</v>
      </c>
    </row>
    <row r="322">
      <c r="B322" s="24">
        <v>45995</v>
      </c>
      <c r="C322" s="16">
        <v>-1</v>
      </c>
      <c r="D322" s="35" t="s">
        <v>55</v>
      </c>
      <c r="E322" s="35" t="s">
        <v>56</v>
      </c>
      <c r="F322" s="16">
        <v>1</v>
      </c>
      <c r="G322" s="16" t="s">
        <v>30</v>
      </c>
      <c r="H322" s="16" t="s">
        <v>31</v>
      </c>
      <c r="I322" s="16" t="s">
        <v>32</v>
      </c>
      <c r="K322" s="35" t="s">
        <v>57</v>
      </c>
    </row>
    <row r="323">
      <c r="B323" s="24">
        <v>45911</v>
      </c>
      <c r="C323" s="16">
        <v>-1</v>
      </c>
      <c r="D323" s="35" t="s">
        <v>55</v>
      </c>
      <c r="E323" s="35" t="s">
        <v>56</v>
      </c>
      <c r="F323" s="16">
        <v>1</v>
      </c>
      <c r="G323" s="16" t="s">
        <v>30</v>
      </c>
      <c r="H323" s="16" t="s">
        <v>31</v>
      </c>
      <c r="I323" s="16" t="s">
        <v>32</v>
      </c>
      <c r="J323" s="1"/>
      <c r="K323" s="36" t="s">
        <v>58</v>
      </c>
    </row>
    <row r="324">
      <c r="B324" s="37">
        <v>45925</v>
      </c>
      <c r="C324" s="16">
        <v>-1</v>
      </c>
      <c r="D324" s="35" t="s">
        <v>55</v>
      </c>
      <c r="E324" s="35" t="s">
        <v>56</v>
      </c>
      <c r="F324" s="16">
        <v>1</v>
      </c>
      <c r="G324" s="16" t="s">
        <v>30</v>
      </c>
      <c r="H324" s="16" t="s">
        <v>31</v>
      </c>
      <c r="I324" s="16" t="s">
        <v>32</v>
      </c>
      <c r="K324" s="36" t="s">
        <v>59</v>
      </c>
    </row>
    <row r="325">
      <c r="B325" s="37">
        <v>45925</v>
      </c>
      <c r="C325" s="16">
        <v>-1</v>
      </c>
      <c r="D325" s="38" t="s">
        <v>60</v>
      </c>
      <c r="E325" s="38" t="s">
        <v>61</v>
      </c>
      <c r="F325" s="16">
        <v>1</v>
      </c>
      <c r="G325" s="16" t="s">
        <v>30</v>
      </c>
      <c r="H325" s="16" t="s">
        <v>31</v>
      </c>
      <c r="I325" s="16" t="s">
        <v>32</v>
      </c>
      <c r="K325" s="38" t="s">
        <v>62</v>
      </c>
    </row>
    <row r="326">
      <c r="B326" s="37">
        <v>45925</v>
      </c>
      <c r="C326" s="16">
        <v>-1</v>
      </c>
      <c r="D326" s="38" t="s">
        <v>60</v>
      </c>
      <c r="E326" s="38" t="s">
        <v>61</v>
      </c>
      <c r="F326" s="16">
        <v>1</v>
      </c>
      <c r="G326" s="16" t="s">
        <v>30</v>
      </c>
      <c r="H326" s="16" t="s">
        <v>31</v>
      </c>
      <c r="I326" s="16" t="s">
        <v>32</v>
      </c>
      <c r="K326" s="38" t="s">
        <v>63</v>
      </c>
    </row>
    <row r="327">
      <c r="B327" s="24">
        <v>46009</v>
      </c>
      <c r="C327" s="16">
        <v>-1</v>
      </c>
      <c r="D327" s="38" t="s">
        <v>60</v>
      </c>
      <c r="E327" s="38" t="s">
        <v>61</v>
      </c>
      <c r="F327" s="16">
        <v>1</v>
      </c>
      <c r="G327" s="16" t="s">
        <v>30</v>
      </c>
      <c r="H327" s="16" t="s">
        <v>31</v>
      </c>
      <c r="I327" s="16" t="s">
        <v>32</v>
      </c>
      <c r="K327" s="38" t="s">
        <v>64</v>
      </c>
    </row>
    <row r="328">
      <c r="B328" s="24">
        <v>45988</v>
      </c>
      <c r="C328" s="16">
        <v>1</v>
      </c>
      <c r="D328" s="39" t="s">
        <v>65</v>
      </c>
      <c r="E328" s="39" t="s">
        <v>66</v>
      </c>
      <c r="F328" s="16">
        <v>1</v>
      </c>
      <c r="G328" s="16" t="s">
        <v>30</v>
      </c>
      <c r="H328" s="16" t="s">
        <v>31</v>
      </c>
      <c r="I328" s="16" t="s">
        <v>32</v>
      </c>
      <c r="K328" s="39" t="s">
        <v>67</v>
      </c>
    </row>
    <row r="329">
      <c r="B329" s="24">
        <v>45988</v>
      </c>
      <c r="C329" s="16">
        <v>1</v>
      </c>
      <c r="D329" s="39" t="s">
        <v>65</v>
      </c>
      <c r="E329" s="39" t="s">
        <v>66</v>
      </c>
      <c r="F329" s="16">
        <v>1</v>
      </c>
      <c r="G329" s="16" t="s">
        <v>30</v>
      </c>
      <c r="H329" s="16" t="s">
        <v>31</v>
      </c>
      <c r="I329" s="16" t="s">
        <v>32</v>
      </c>
      <c r="K329" s="40" t="s">
        <v>68</v>
      </c>
    </row>
    <row r="330">
      <c r="B330" s="24">
        <v>46009</v>
      </c>
      <c r="C330" s="16">
        <v>-1</v>
      </c>
      <c r="D330" s="35" t="s">
        <v>55</v>
      </c>
      <c r="E330" s="35" t="s">
        <v>56</v>
      </c>
      <c r="F330" s="16">
        <v>1</v>
      </c>
      <c r="G330" s="16" t="s">
        <v>30</v>
      </c>
      <c r="H330" s="16" t="s">
        <v>31</v>
      </c>
      <c r="I330" s="16" t="s">
        <v>32</v>
      </c>
      <c r="K330" s="35" t="s">
        <v>69</v>
      </c>
    </row>
    <row r="331">
      <c r="B331" s="24">
        <v>46009</v>
      </c>
      <c r="C331" s="16">
        <v>-1</v>
      </c>
      <c r="D331" s="38" t="s">
        <v>60</v>
      </c>
      <c r="E331" s="38" t="s">
        <v>61</v>
      </c>
      <c r="F331" s="16">
        <v>1</v>
      </c>
      <c r="G331" s="16" t="s">
        <v>30</v>
      </c>
      <c r="H331" s="16" t="s">
        <v>31</v>
      </c>
      <c r="I331" s="16" t="s">
        <v>32</v>
      </c>
      <c r="K331" s="38" t="s">
        <v>70</v>
      </c>
    </row>
    <row r="332">
      <c r="B332" s="24">
        <v>45840</v>
      </c>
      <c r="C332" s="16">
        <v>1</v>
      </c>
      <c r="D332" s="39" t="s">
        <v>65</v>
      </c>
      <c r="E332" s="39" t="s">
        <v>66</v>
      </c>
      <c r="F332" s="16">
        <v>1</v>
      </c>
      <c r="G332" s="16" t="s">
        <v>30</v>
      </c>
      <c r="H332" s="16" t="s">
        <v>31</v>
      </c>
      <c r="I332" s="16" t="s">
        <v>32</v>
      </c>
      <c r="K332" s="40" t="s">
        <v>71</v>
      </c>
    </row>
    <row r="333">
      <c r="B333" s="24">
        <v>45840</v>
      </c>
      <c r="C333" s="16">
        <v>1</v>
      </c>
      <c r="D333" s="39" t="s">
        <v>65</v>
      </c>
      <c r="E333" s="39" t="s">
        <v>66</v>
      </c>
      <c r="F333" s="16">
        <v>1</v>
      </c>
      <c r="G333" s="16" t="s">
        <v>30</v>
      </c>
      <c r="H333" s="16" t="s">
        <v>31</v>
      </c>
      <c r="I333" s="16" t="s">
        <v>32</v>
      </c>
      <c r="J333" s="1"/>
      <c r="K333" s="40" t="s">
        <v>72</v>
      </c>
    </row>
    <row r="334">
      <c r="B334" s="24">
        <v>46128</v>
      </c>
      <c r="C334" s="16">
        <v>1</v>
      </c>
      <c r="D334" s="39" t="s">
        <v>65</v>
      </c>
      <c r="E334" s="39" t="s">
        <v>66</v>
      </c>
      <c r="F334" s="16">
        <v>1</v>
      </c>
      <c r="G334" s="16" t="s">
        <v>30</v>
      </c>
      <c r="H334" s="16" t="s">
        <v>31</v>
      </c>
      <c r="I334" s="16" t="s">
        <v>32</v>
      </c>
      <c r="K334" s="39" t="s">
        <v>73</v>
      </c>
    </row>
    <row r="335">
      <c r="B335" s="37">
        <v>46128</v>
      </c>
      <c r="C335" s="16">
        <v>1</v>
      </c>
      <c r="D335" s="39" t="s">
        <v>65</v>
      </c>
      <c r="E335" s="39" t="s">
        <v>66</v>
      </c>
      <c r="F335" s="16">
        <v>1</v>
      </c>
      <c r="G335" s="16" t="s">
        <v>30</v>
      </c>
      <c r="H335" s="16" t="s">
        <v>31</v>
      </c>
      <c r="I335" s="16" t="s">
        <v>32</v>
      </c>
      <c r="K335" s="39" t="s">
        <v>74</v>
      </c>
    </row>
    <row r="336">
      <c r="B336" s="37">
        <v>46128</v>
      </c>
      <c r="C336" s="16">
        <v>1</v>
      </c>
      <c r="D336" s="39" t="s">
        <v>65</v>
      </c>
      <c r="E336" s="39" t="s">
        <v>66</v>
      </c>
      <c r="F336" s="16">
        <v>1</v>
      </c>
      <c r="G336" s="16" t="s">
        <v>30</v>
      </c>
      <c r="H336" s="16" t="s">
        <v>31</v>
      </c>
      <c r="I336" s="16" t="s">
        <v>32</v>
      </c>
      <c r="K336" s="39" t="s">
        <v>75</v>
      </c>
    </row>
    <row r="337">
      <c r="B337" s="37">
        <v>46128</v>
      </c>
      <c r="C337" s="16">
        <v>1</v>
      </c>
      <c r="D337" s="39" t="s">
        <v>65</v>
      </c>
      <c r="E337" s="39" t="s">
        <v>66</v>
      </c>
      <c r="F337" s="16">
        <v>1</v>
      </c>
      <c r="G337" s="16" t="s">
        <v>30</v>
      </c>
      <c r="H337" s="16" t="s">
        <v>31</v>
      </c>
      <c r="I337" s="16" t="s">
        <v>32</v>
      </c>
      <c r="K337" s="39" t="s">
        <v>76</v>
      </c>
    </row>
    <row r="338">
      <c r="B338" s="24">
        <v>46009</v>
      </c>
      <c r="C338" s="16">
        <v>-1</v>
      </c>
      <c r="D338" s="38" t="s">
        <v>60</v>
      </c>
      <c r="E338" s="38" t="s">
        <v>61</v>
      </c>
      <c r="F338" s="16">
        <v>1</v>
      </c>
      <c r="G338" s="16" t="s">
        <v>30</v>
      </c>
      <c r="H338" s="16" t="s">
        <v>31</v>
      </c>
      <c r="I338" s="16" t="s">
        <v>32</v>
      </c>
      <c r="K338" s="41" t="s">
        <v>77</v>
      </c>
    </row>
    <row r="339">
      <c r="B339" s="24">
        <v>45960</v>
      </c>
      <c r="C339" s="16">
        <v>-1</v>
      </c>
      <c r="D339" s="38" t="s">
        <v>60</v>
      </c>
      <c r="E339" s="38" t="s">
        <v>61</v>
      </c>
      <c r="F339" s="16">
        <v>1</v>
      </c>
      <c r="G339" s="16" t="s">
        <v>30</v>
      </c>
      <c r="H339" s="16" t="s">
        <v>31</v>
      </c>
      <c r="I339" s="16" t="s">
        <v>32</v>
      </c>
      <c r="K339" s="41" t="s">
        <v>78</v>
      </c>
    </row>
    <row r="340">
      <c r="B340" s="24">
        <v>45960</v>
      </c>
      <c r="C340" s="16">
        <v>-1</v>
      </c>
      <c r="D340" s="38" t="s">
        <v>60</v>
      </c>
      <c r="E340" s="38" t="s">
        <v>61</v>
      </c>
      <c r="F340" s="16">
        <v>1</v>
      </c>
      <c r="G340" s="16" t="s">
        <v>30</v>
      </c>
      <c r="H340" s="16" t="s">
        <v>31</v>
      </c>
      <c r="I340" s="16" t="s">
        <v>32</v>
      </c>
      <c r="K340" s="41" t="s">
        <v>79</v>
      </c>
    </row>
    <row r="341">
      <c r="B341" s="24">
        <v>45925</v>
      </c>
      <c r="C341" s="16">
        <v>-1</v>
      </c>
      <c r="D341" s="38" t="s">
        <v>60</v>
      </c>
      <c r="E341" s="38" t="s">
        <v>61</v>
      </c>
      <c r="F341" s="16">
        <v>1</v>
      </c>
      <c r="G341" s="16" t="s">
        <v>30</v>
      </c>
      <c r="H341" s="16" t="s">
        <v>31</v>
      </c>
      <c r="I341" s="16" t="s">
        <v>32</v>
      </c>
      <c r="K341" s="41" t="s">
        <v>80</v>
      </c>
    </row>
    <row r="342">
      <c r="B342" s="24">
        <v>46009</v>
      </c>
      <c r="C342" s="16">
        <v>-1</v>
      </c>
      <c r="D342" s="38" t="s">
        <v>60</v>
      </c>
      <c r="E342" s="38" t="s">
        <v>61</v>
      </c>
      <c r="F342" s="16">
        <v>1</v>
      </c>
      <c r="G342" s="16" t="s">
        <v>30</v>
      </c>
      <c r="H342" s="16" t="s">
        <v>31</v>
      </c>
      <c r="I342" s="16" t="s">
        <v>32</v>
      </c>
      <c r="K342" s="38" t="s">
        <v>81</v>
      </c>
    </row>
    <row r="343">
      <c r="B343" s="24">
        <v>46009</v>
      </c>
      <c r="C343" s="16">
        <v>-1</v>
      </c>
      <c r="D343" s="38" t="s">
        <v>60</v>
      </c>
      <c r="E343" s="38" t="s">
        <v>61</v>
      </c>
      <c r="F343" s="16">
        <v>1</v>
      </c>
      <c r="G343" s="16" t="s">
        <v>30</v>
      </c>
      <c r="H343" s="16" t="s">
        <v>31</v>
      </c>
      <c r="I343" s="16" t="s">
        <v>32</v>
      </c>
      <c r="K343" s="41" t="s">
        <v>82</v>
      </c>
    </row>
    <row r="344">
      <c r="B344" s="37">
        <v>45925</v>
      </c>
      <c r="C344" s="16">
        <v>-1</v>
      </c>
      <c r="D344" s="38" t="s">
        <v>60</v>
      </c>
      <c r="E344" s="38" t="s">
        <v>61</v>
      </c>
      <c r="F344" s="16">
        <v>1</v>
      </c>
      <c r="G344" s="16" t="s">
        <v>30</v>
      </c>
      <c r="H344" s="16" t="s">
        <v>31</v>
      </c>
      <c r="I344" s="16" t="s">
        <v>32</v>
      </c>
      <c r="K344" s="41" t="s">
        <v>83</v>
      </c>
    </row>
    <row r="345">
      <c r="B345" s="24">
        <v>45925</v>
      </c>
      <c r="C345" s="16">
        <v>-1</v>
      </c>
      <c r="D345" s="38" t="s">
        <v>60</v>
      </c>
      <c r="E345" s="38" t="s">
        <v>61</v>
      </c>
      <c r="F345" s="16">
        <v>1</v>
      </c>
      <c r="G345" s="16" t="s">
        <v>30</v>
      </c>
      <c r="H345" s="16" t="s">
        <v>31</v>
      </c>
      <c r="I345" s="16" t="s">
        <v>32</v>
      </c>
      <c r="K345" s="41" t="s">
        <v>84</v>
      </c>
    </row>
    <row r="346">
      <c r="B346" s="24">
        <v>45911</v>
      </c>
      <c r="C346" s="16">
        <v>-1</v>
      </c>
      <c r="D346" s="35" t="s">
        <v>55</v>
      </c>
      <c r="E346" s="35" t="s">
        <v>56</v>
      </c>
      <c r="F346" s="16">
        <v>1</v>
      </c>
      <c r="G346" s="16" t="s">
        <v>30</v>
      </c>
      <c r="H346" s="16" t="s">
        <v>31</v>
      </c>
      <c r="I346" s="16" t="s">
        <v>32</v>
      </c>
      <c r="K346" s="42" t="s">
        <v>85</v>
      </c>
    </row>
    <row r="347">
      <c r="B347" s="24">
        <v>45840</v>
      </c>
      <c r="C347" s="16">
        <v>1</v>
      </c>
      <c r="D347" s="39" t="s">
        <v>65</v>
      </c>
      <c r="E347" s="39" t="s">
        <v>66</v>
      </c>
      <c r="F347" s="16">
        <v>1</v>
      </c>
      <c r="G347" s="16" t="s">
        <v>30</v>
      </c>
      <c r="H347" s="16" t="s">
        <v>31</v>
      </c>
      <c r="I347" s="16" t="s">
        <v>32</v>
      </c>
      <c r="K347" s="39" t="s">
        <v>46</v>
      </c>
    </row>
    <row r="348">
      <c r="B348" s="24">
        <v>46114</v>
      </c>
      <c r="C348" s="16">
        <v>2490</v>
      </c>
      <c r="D348" s="1" t="s">
        <v>86</v>
      </c>
      <c r="E348" s="1" t="s">
        <v>87</v>
      </c>
      <c r="F348" s="16">
        <v>3</v>
      </c>
      <c r="G348" s="16" t="s">
        <v>37</v>
      </c>
      <c r="H348" s="16" t="s">
        <v>31</v>
      </c>
      <c r="I348" s="16" t="s">
        <v>32</v>
      </c>
      <c r="K348" t="s">
        <v>46</v>
      </c>
    </row>
    <row r="349">
      <c r="B349" s="37">
        <v>46114</v>
      </c>
      <c r="C349" s="16">
        <v>2490</v>
      </c>
      <c r="D349" s="1" t="s">
        <v>88</v>
      </c>
      <c r="E349" s="1" t="s">
        <v>89</v>
      </c>
      <c r="F349" s="16">
        <v>3</v>
      </c>
      <c r="G349" s="16" t="s">
        <v>37</v>
      </c>
      <c r="H349" s="16" t="s">
        <v>31</v>
      </c>
      <c r="I349" s="16" t="s">
        <v>32</v>
      </c>
      <c r="K349" t="s">
        <v>46</v>
      </c>
    </row>
    <row r="350">
      <c r="B350" s="37">
        <v>46114</v>
      </c>
      <c r="C350" s="28">
        <f>C349/C348*100</f>
        <v>100</v>
      </c>
      <c r="D350" s="1" t="s">
        <v>90</v>
      </c>
      <c r="E350" s="1" t="s">
        <v>91</v>
      </c>
      <c r="F350" s="16">
        <v>3</v>
      </c>
      <c r="G350" s="16" t="s">
        <v>43</v>
      </c>
      <c r="H350" s="16" t="s">
        <v>31</v>
      </c>
      <c r="I350" s="16" t="s">
        <v>32</v>
      </c>
      <c r="K350" t="s">
        <v>46</v>
      </c>
    </row>
    <row r="351">
      <c r="B351" s="37">
        <v>46114</v>
      </c>
      <c r="C351" s="28">
        <f>C349/C$348*100</f>
        <v>100</v>
      </c>
      <c r="D351" s="1" t="s">
        <v>92</v>
      </c>
      <c r="E351" s="1" t="s">
        <v>93</v>
      </c>
      <c r="F351" s="16">
        <v>3</v>
      </c>
      <c r="G351" s="16" t="s">
        <v>43</v>
      </c>
      <c r="H351" s="16" t="s">
        <v>31</v>
      </c>
      <c r="I351" s="16" t="s">
        <v>32</v>
      </c>
      <c r="K351" t="s">
        <v>46</v>
      </c>
    </row>
    <row r="352">
      <c r="B352" s="37">
        <v>46114</v>
      </c>
      <c r="C352" s="16">
        <v>1800</v>
      </c>
      <c r="D352" s="1" t="s">
        <v>94</v>
      </c>
      <c r="E352" t="s">
        <v>95</v>
      </c>
      <c r="F352" s="16">
        <v>3</v>
      </c>
      <c r="G352" s="16" t="s">
        <v>37</v>
      </c>
      <c r="H352" s="16" t="s">
        <v>31</v>
      </c>
      <c r="I352" s="16" t="s">
        <v>32</v>
      </c>
      <c r="K352" t="s">
        <v>46</v>
      </c>
    </row>
    <row r="353">
      <c r="B353" s="37">
        <v>46114</v>
      </c>
      <c r="C353" s="28">
        <f>C352/C349*100</f>
        <v>72.289156626506028</v>
      </c>
      <c r="D353" s="1" t="s">
        <v>96</v>
      </c>
      <c r="E353" s="1" t="s">
        <v>97</v>
      </c>
      <c r="F353" s="16">
        <v>3</v>
      </c>
      <c r="G353" s="16" t="s">
        <v>43</v>
      </c>
      <c r="H353" s="16" t="s">
        <v>31</v>
      </c>
      <c r="I353" s="16" t="s">
        <v>32</v>
      </c>
      <c r="K353" t="s">
        <v>46</v>
      </c>
    </row>
    <row r="354">
      <c r="B354" s="37">
        <v>46114</v>
      </c>
      <c r="C354" s="28">
        <f>C352/C$348*100</f>
        <v>72.289156626506028</v>
      </c>
      <c r="D354" s="1" t="s">
        <v>98</v>
      </c>
      <c r="E354" s="1" t="s">
        <v>99</v>
      </c>
      <c r="F354" s="16">
        <v>3</v>
      </c>
      <c r="G354" s="16" t="s">
        <v>43</v>
      </c>
      <c r="H354" s="16" t="s">
        <v>31</v>
      </c>
      <c r="I354" s="16" t="s">
        <v>32</v>
      </c>
      <c r="K354" t="s">
        <v>46</v>
      </c>
    </row>
    <row r="355">
      <c r="B355" s="37">
        <v>46114</v>
      </c>
      <c r="C355" s="16">
        <v>800</v>
      </c>
      <c r="D355" s="1" t="s">
        <v>100</v>
      </c>
      <c r="E355" t="s">
        <v>101</v>
      </c>
      <c r="F355" s="16">
        <v>3</v>
      </c>
      <c r="G355" s="16" t="s">
        <v>37</v>
      </c>
      <c r="H355" s="16" t="s">
        <v>31</v>
      </c>
      <c r="I355" s="16" t="s">
        <v>32</v>
      </c>
      <c r="K355" t="s">
        <v>46</v>
      </c>
    </row>
    <row r="356">
      <c r="B356" s="37">
        <v>46114</v>
      </c>
      <c r="C356" s="28">
        <f>C355/C352*100</f>
        <v>44.444444444444443</v>
      </c>
      <c r="D356" s="1" t="s">
        <v>102</v>
      </c>
      <c r="E356" s="1" t="s">
        <v>103</v>
      </c>
      <c r="F356" s="16">
        <v>3</v>
      </c>
      <c r="G356" s="16" t="s">
        <v>43</v>
      </c>
      <c r="H356" s="16" t="s">
        <v>31</v>
      </c>
      <c r="I356" s="16" t="s">
        <v>32</v>
      </c>
      <c r="K356" t="s">
        <v>46</v>
      </c>
    </row>
    <row r="357">
      <c r="B357" s="37">
        <v>46114</v>
      </c>
      <c r="C357" s="28">
        <f>C355/C$348*100</f>
        <v>32.128514056224901</v>
      </c>
      <c r="D357" s="1" t="s">
        <v>104</v>
      </c>
      <c r="E357" s="1" t="s">
        <v>105</v>
      </c>
      <c r="F357" s="16">
        <v>3</v>
      </c>
      <c r="G357" s="16" t="s">
        <v>43</v>
      </c>
      <c r="H357" s="16" t="s">
        <v>31</v>
      </c>
      <c r="I357" s="16" t="s">
        <v>32</v>
      </c>
      <c r="K357" t="s">
        <v>46</v>
      </c>
    </row>
    <row r="358">
      <c r="B358" s="37">
        <v>46114</v>
      </c>
      <c r="C358" s="16">
        <v>700</v>
      </c>
      <c r="D358" s="1" t="s">
        <v>106</v>
      </c>
      <c r="E358" s="1" t="s">
        <v>107</v>
      </c>
      <c r="F358" s="16">
        <v>3</v>
      </c>
      <c r="G358" s="16" t="s">
        <v>37</v>
      </c>
      <c r="H358" s="16" t="s">
        <v>31</v>
      </c>
      <c r="I358" s="16" t="s">
        <v>32</v>
      </c>
      <c r="K358" t="s">
        <v>46</v>
      </c>
    </row>
    <row r="359">
      <c r="B359" s="37">
        <v>46114</v>
      </c>
      <c r="C359" s="28">
        <f>C358/C355*100</f>
        <v>87.5</v>
      </c>
      <c r="D359" s="1" t="s">
        <v>108</v>
      </c>
      <c r="E359" s="1" t="s">
        <v>109</v>
      </c>
      <c r="F359" s="16">
        <v>3</v>
      </c>
      <c r="G359" s="16" t="s">
        <v>43</v>
      </c>
      <c r="H359" s="16" t="s">
        <v>31</v>
      </c>
      <c r="I359" s="16" t="s">
        <v>32</v>
      </c>
      <c r="K359" t="s">
        <v>46</v>
      </c>
    </row>
    <row r="360">
      <c r="B360" s="37">
        <v>46114</v>
      </c>
      <c r="C360" s="28">
        <f>C358/C$348*100</f>
        <v>28.112449799196789</v>
      </c>
      <c r="D360" s="1" t="s">
        <v>110</v>
      </c>
      <c r="E360" s="1" t="s">
        <v>111</v>
      </c>
      <c r="F360" s="16">
        <v>3</v>
      </c>
      <c r="G360" s="16" t="s">
        <v>43</v>
      </c>
      <c r="H360" s="16" t="s">
        <v>31</v>
      </c>
      <c r="I360" s="16" t="s">
        <v>32</v>
      </c>
      <c r="K360" t="s">
        <v>46</v>
      </c>
    </row>
    <row r="361">
      <c r="B361" s="37">
        <v>46114</v>
      </c>
      <c r="C361" s="16">
        <v>600</v>
      </c>
      <c r="D361" s="1" t="s">
        <v>112</v>
      </c>
      <c r="E361" s="1" t="s">
        <v>113</v>
      </c>
      <c r="F361" s="16">
        <v>3</v>
      </c>
      <c r="G361" s="16" t="s">
        <v>37</v>
      </c>
      <c r="H361" s="16" t="s">
        <v>31</v>
      </c>
      <c r="I361" s="16" t="s">
        <v>32</v>
      </c>
      <c r="K361" t="s">
        <v>46</v>
      </c>
    </row>
    <row r="362">
      <c r="B362" s="37">
        <v>46114</v>
      </c>
      <c r="C362" s="28">
        <f>C361/C358*100</f>
        <v>85.714285714285708</v>
      </c>
      <c r="D362" s="1" t="s">
        <v>114</v>
      </c>
      <c r="E362" s="1" t="s">
        <v>115</v>
      </c>
      <c r="F362" s="16">
        <v>3</v>
      </c>
      <c r="G362" s="16" t="s">
        <v>43</v>
      </c>
      <c r="H362" s="16" t="s">
        <v>31</v>
      </c>
      <c r="I362" s="16" t="s">
        <v>32</v>
      </c>
      <c r="K362" t="s">
        <v>46</v>
      </c>
    </row>
    <row r="363">
      <c r="B363" s="37">
        <v>46114</v>
      </c>
      <c r="C363" s="28">
        <f>C361/C$348*100</f>
        <v>24.096385542168676</v>
      </c>
      <c r="D363" s="1" t="s">
        <v>116</v>
      </c>
      <c r="E363" s="1" t="s">
        <v>117</v>
      </c>
      <c r="F363" s="16">
        <v>3</v>
      </c>
      <c r="G363" s="16" t="s">
        <v>43</v>
      </c>
      <c r="H363" s="16" t="s">
        <v>31</v>
      </c>
      <c r="I363" s="16" t="s">
        <v>32</v>
      </c>
      <c r="K363" t="s">
        <v>46</v>
      </c>
    </row>
    <row r="364">
      <c r="B364" s="37">
        <v>46114</v>
      </c>
      <c r="C364" s="16">
        <v>553</v>
      </c>
      <c r="D364" s="1" t="s">
        <v>118</v>
      </c>
      <c r="E364" s="1" t="s">
        <v>119</v>
      </c>
      <c r="F364" s="16">
        <v>3</v>
      </c>
      <c r="G364" s="16" t="s">
        <v>37</v>
      </c>
      <c r="H364" s="16" t="s">
        <v>31</v>
      </c>
      <c r="I364" s="16" t="s">
        <v>32</v>
      </c>
      <c r="K364" t="s">
        <v>46</v>
      </c>
    </row>
    <row r="365">
      <c r="B365" s="37">
        <v>46114</v>
      </c>
      <c r="C365" s="28">
        <f>C364/C361*100</f>
        <v>92.166666666666657</v>
      </c>
      <c r="D365" s="1" t="s">
        <v>120</v>
      </c>
      <c r="E365" s="1" t="s">
        <v>121</v>
      </c>
      <c r="F365" s="16">
        <v>3</v>
      </c>
      <c r="G365" s="16" t="s">
        <v>43</v>
      </c>
      <c r="H365" s="16" t="s">
        <v>31</v>
      </c>
      <c r="I365" s="16" t="s">
        <v>32</v>
      </c>
      <c r="K365" t="s">
        <v>46</v>
      </c>
    </row>
    <row r="366">
      <c r="B366" s="37">
        <v>46114</v>
      </c>
      <c r="C366" s="28">
        <f>C364/C$348*100</f>
        <v>22.208835341365464</v>
      </c>
      <c r="D366" s="1" t="s">
        <v>122</v>
      </c>
      <c r="E366" s="1" t="s">
        <v>123</v>
      </c>
      <c r="F366" s="16">
        <v>3</v>
      </c>
      <c r="G366" s="16" t="s">
        <v>43</v>
      </c>
      <c r="H366" s="16" t="s">
        <v>31</v>
      </c>
      <c r="I366" s="16" t="s">
        <v>32</v>
      </c>
      <c r="K366" t="s">
        <v>46</v>
      </c>
    </row>
    <row r="367" ht="30">
      <c r="B367" s="37">
        <v>46114</v>
      </c>
      <c r="C367" s="28">
        <v>50</v>
      </c>
      <c r="D367" s="1" t="s">
        <v>124</v>
      </c>
      <c r="E367" s="43" t="s">
        <v>125</v>
      </c>
      <c r="F367" s="16">
        <v>3</v>
      </c>
      <c r="G367" s="16" t="s">
        <v>43</v>
      </c>
      <c r="H367" s="16" t="s">
        <v>126</v>
      </c>
      <c r="I367" s="16" t="s">
        <v>32</v>
      </c>
      <c r="K367" s="1" t="s">
        <v>46</v>
      </c>
    </row>
    <row r="368">
      <c r="B368" s="37">
        <v>46114</v>
      </c>
      <c r="C368" s="16">
        <v>4.0999999999999996</v>
      </c>
      <c r="D368" s="1" t="s">
        <v>127</v>
      </c>
      <c r="E368" s="44" t="s">
        <v>128</v>
      </c>
      <c r="F368" s="16">
        <v>3</v>
      </c>
      <c r="G368" s="16" t="s">
        <v>40</v>
      </c>
      <c r="H368" s="16" t="s">
        <v>126</v>
      </c>
      <c r="I368" s="16" t="s">
        <v>32</v>
      </c>
      <c r="K368" s="1" t="s">
        <v>46</v>
      </c>
    </row>
    <row r="369" ht="30">
      <c r="B369" s="37">
        <v>46114</v>
      </c>
      <c r="C369" s="28">
        <v>60</v>
      </c>
      <c r="D369" s="1" t="s">
        <v>129</v>
      </c>
      <c r="E369" s="43" t="s">
        <v>125</v>
      </c>
      <c r="F369" s="16">
        <v>1</v>
      </c>
      <c r="G369" s="16" t="s">
        <v>43</v>
      </c>
      <c r="H369" s="16" t="s">
        <v>126</v>
      </c>
      <c r="I369" s="16" t="s">
        <v>32</v>
      </c>
    </row>
    <row r="370">
      <c r="B370" s="37">
        <v>46114</v>
      </c>
      <c r="C370" s="16">
        <v>5.0999999999999996</v>
      </c>
      <c r="D370" s="1" t="s">
        <v>130</v>
      </c>
      <c r="E370" s="44" t="s">
        <v>131</v>
      </c>
      <c r="F370" s="16">
        <v>1</v>
      </c>
      <c r="G370" s="16" t="s">
        <v>40</v>
      </c>
      <c r="H370" s="16" t="s">
        <v>126</v>
      </c>
      <c r="I370" s="16" t="s">
        <v>32</v>
      </c>
    </row>
    <row r="371">
      <c r="B371" s="24">
        <v>45897</v>
      </c>
      <c r="C371" s="16">
        <v>1534</v>
      </c>
      <c r="D371" t="s">
        <v>132</v>
      </c>
      <c r="E371" t="s">
        <v>133</v>
      </c>
      <c r="F371" s="16">
        <v>1</v>
      </c>
      <c r="G371" s="16" t="s">
        <v>30</v>
      </c>
      <c r="H371" s="16" t="s">
        <v>31</v>
      </c>
      <c r="I371" s="16" t="s">
        <v>32</v>
      </c>
    </row>
    <row r="372">
      <c r="B372" s="24">
        <v>45904</v>
      </c>
      <c r="C372" s="16">
        <v>1250</v>
      </c>
      <c r="D372" t="s">
        <v>132</v>
      </c>
      <c r="E372" t="s">
        <v>133</v>
      </c>
      <c r="F372" s="16">
        <v>1</v>
      </c>
      <c r="G372" s="16" t="s">
        <v>30</v>
      </c>
      <c r="H372" s="16" t="s">
        <v>31</v>
      </c>
      <c r="I372" s="16" t="s">
        <v>32</v>
      </c>
    </row>
    <row r="373">
      <c r="B373" s="24">
        <v>45911</v>
      </c>
      <c r="C373" s="16">
        <v>1340</v>
      </c>
      <c r="D373" t="s">
        <v>132</v>
      </c>
      <c r="E373" t="s">
        <v>133</v>
      </c>
      <c r="F373" s="16">
        <v>1</v>
      </c>
      <c r="G373" s="16" t="s">
        <v>30</v>
      </c>
      <c r="H373" s="16" t="s">
        <v>31</v>
      </c>
      <c r="I373" s="16" t="s">
        <v>32</v>
      </c>
    </row>
    <row r="374">
      <c r="B374" s="24">
        <v>45918</v>
      </c>
      <c r="C374" s="16">
        <v>1217</v>
      </c>
      <c r="D374" t="s">
        <v>132</v>
      </c>
      <c r="E374" t="s">
        <v>133</v>
      </c>
      <c r="F374" s="16">
        <v>1</v>
      </c>
      <c r="G374" s="16" t="s">
        <v>30</v>
      </c>
      <c r="H374" s="16" t="s">
        <v>31</v>
      </c>
      <c r="I374" s="16" t="s">
        <v>32</v>
      </c>
    </row>
    <row r="375">
      <c r="B375" s="24">
        <v>45925</v>
      </c>
      <c r="C375" s="16">
        <v>1378</v>
      </c>
      <c r="D375" t="s">
        <v>132</v>
      </c>
      <c r="E375" t="s">
        <v>133</v>
      </c>
      <c r="F375" s="16">
        <v>1</v>
      </c>
      <c r="G375" s="16" t="s">
        <v>30</v>
      </c>
      <c r="H375" s="16" t="s">
        <v>31</v>
      </c>
      <c r="I375" s="16" t="s">
        <v>32</v>
      </c>
    </row>
    <row r="376">
      <c r="B376" s="24">
        <v>45932</v>
      </c>
      <c r="C376" s="16">
        <v>920</v>
      </c>
      <c r="D376" t="s">
        <v>132</v>
      </c>
      <c r="E376" t="s">
        <v>133</v>
      </c>
      <c r="F376" s="16">
        <v>1</v>
      </c>
      <c r="G376" s="16" t="s">
        <v>30</v>
      </c>
      <c r="H376" s="16" t="s">
        <v>31</v>
      </c>
      <c r="I376" s="16" t="s">
        <v>32</v>
      </c>
    </row>
    <row r="377">
      <c r="B377" s="24">
        <v>45946</v>
      </c>
      <c r="C377" s="16">
        <v>966</v>
      </c>
      <c r="D377" t="s">
        <v>132</v>
      </c>
      <c r="E377" t="s">
        <v>133</v>
      </c>
      <c r="F377" s="16">
        <v>1</v>
      </c>
      <c r="G377" s="16" t="s">
        <v>30</v>
      </c>
      <c r="H377" s="16" t="s">
        <v>31</v>
      </c>
      <c r="I377" s="16" t="s">
        <v>32</v>
      </c>
    </row>
    <row r="378">
      <c r="B378" s="37">
        <v>45953</v>
      </c>
      <c r="C378" s="16">
        <v>1093</v>
      </c>
      <c r="D378" t="s">
        <v>132</v>
      </c>
      <c r="E378" t="s">
        <v>133</v>
      </c>
      <c r="F378" s="16">
        <v>1</v>
      </c>
      <c r="G378" s="16" t="s">
        <v>30</v>
      </c>
      <c r="H378" s="16" t="s">
        <v>31</v>
      </c>
      <c r="I378" s="16" t="s">
        <v>32</v>
      </c>
    </row>
    <row r="379">
      <c r="B379" s="24">
        <v>45960</v>
      </c>
      <c r="C379" s="16">
        <v>1199</v>
      </c>
      <c r="D379" t="s">
        <v>132</v>
      </c>
      <c r="E379" t="s">
        <v>133</v>
      </c>
      <c r="F379" s="16">
        <v>1</v>
      </c>
      <c r="G379" s="16" t="s">
        <v>30</v>
      </c>
      <c r="H379" s="16" t="s">
        <v>31</v>
      </c>
      <c r="I379" s="16" t="s">
        <v>32</v>
      </c>
    </row>
    <row r="380">
      <c r="B380" s="24">
        <v>45967</v>
      </c>
      <c r="C380" s="16">
        <v>1190</v>
      </c>
      <c r="D380" t="s">
        <v>132</v>
      </c>
      <c r="E380" t="s">
        <v>133</v>
      </c>
      <c r="F380" s="16">
        <v>1</v>
      </c>
      <c r="G380" s="16" t="s">
        <v>30</v>
      </c>
      <c r="H380" s="16" t="s">
        <v>31</v>
      </c>
      <c r="I380" s="16" t="s">
        <v>32</v>
      </c>
    </row>
    <row r="381">
      <c r="B381" s="24">
        <v>45974</v>
      </c>
      <c r="C381" s="16">
        <v>1133</v>
      </c>
      <c r="D381" t="s">
        <v>132</v>
      </c>
      <c r="E381" t="s">
        <v>133</v>
      </c>
      <c r="F381" s="16">
        <v>1</v>
      </c>
      <c r="G381" s="16" t="s">
        <v>30</v>
      </c>
      <c r="H381" s="16" t="s">
        <v>31</v>
      </c>
      <c r="I381" s="16" t="s">
        <v>32</v>
      </c>
    </row>
    <row r="382">
      <c r="B382" s="24">
        <v>45981</v>
      </c>
      <c r="C382" s="16">
        <v>1097</v>
      </c>
      <c r="D382" t="s">
        <v>132</v>
      </c>
      <c r="E382" t="s">
        <v>133</v>
      </c>
      <c r="F382" s="16">
        <v>1</v>
      </c>
      <c r="G382" s="16" t="s">
        <v>30</v>
      </c>
      <c r="H382" s="16" t="s">
        <v>31</v>
      </c>
      <c r="I382" s="16" t="s">
        <v>32</v>
      </c>
    </row>
    <row r="383">
      <c r="B383" s="24">
        <v>45988</v>
      </c>
      <c r="C383" s="16">
        <v>1233</v>
      </c>
      <c r="D383" t="s">
        <v>132</v>
      </c>
      <c r="E383" t="s">
        <v>133</v>
      </c>
      <c r="F383" s="16">
        <v>1</v>
      </c>
      <c r="G383" s="16" t="s">
        <v>30</v>
      </c>
      <c r="H383" s="16" t="s">
        <v>31</v>
      </c>
      <c r="I383" s="16" t="s">
        <v>32</v>
      </c>
    </row>
    <row r="384">
      <c r="B384" s="24">
        <v>45995</v>
      </c>
      <c r="C384" s="16">
        <v>779</v>
      </c>
      <c r="D384" t="s">
        <v>132</v>
      </c>
      <c r="E384" t="s">
        <v>133</v>
      </c>
      <c r="F384" s="16">
        <v>1</v>
      </c>
      <c r="G384" s="16" t="s">
        <v>30</v>
      </c>
      <c r="H384" s="16" t="s">
        <v>31</v>
      </c>
      <c r="I384" s="16" t="s">
        <v>32</v>
      </c>
    </row>
    <row r="385">
      <c r="B385" s="24">
        <v>46002</v>
      </c>
      <c r="C385" s="16">
        <v>1146</v>
      </c>
      <c r="D385" t="s">
        <v>132</v>
      </c>
      <c r="E385" t="s">
        <v>133</v>
      </c>
      <c r="F385" s="16">
        <v>1</v>
      </c>
      <c r="G385" s="16" t="s">
        <v>30</v>
      </c>
      <c r="H385" s="16" t="s">
        <v>31</v>
      </c>
      <c r="I385" s="16" t="s">
        <v>32</v>
      </c>
    </row>
    <row r="386">
      <c r="B386" s="24">
        <v>46009</v>
      </c>
      <c r="C386" s="16">
        <v>1831</v>
      </c>
      <c r="D386" t="s">
        <v>132</v>
      </c>
      <c r="E386" t="s">
        <v>133</v>
      </c>
      <c r="F386" s="16">
        <v>1</v>
      </c>
      <c r="G386" s="16" t="s">
        <v>30</v>
      </c>
      <c r="H386" s="16" t="s">
        <v>31</v>
      </c>
      <c r="I386" s="16" t="s">
        <v>32</v>
      </c>
    </row>
    <row r="387">
      <c r="B387" s="24">
        <v>46016</v>
      </c>
      <c r="C387" s="16">
        <v>1893</v>
      </c>
      <c r="D387" t="s">
        <v>132</v>
      </c>
      <c r="E387" t="s">
        <v>133</v>
      </c>
      <c r="F387" s="16">
        <v>1</v>
      </c>
      <c r="G387" s="16" t="s">
        <v>30</v>
      </c>
      <c r="H387" s="16" t="s">
        <v>31</v>
      </c>
      <c r="I387" s="16" t="s">
        <v>32</v>
      </c>
    </row>
    <row r="388">
      <c r="B388" s="24">
        <v>46037</v>
      </c>
      <c r="C388" s="16">
        <v>1702</v>
      </c>
      <c r="D388" t="s">
        <v>132</v>
      </c>
      <c r="E388" t="s">
        <v>133</v>
      </c>
      <c r="F388" s="16">
        <v>1</v>
      </c>
      <c r="G388" s="16" t="s">
        <v>30</v>
      </c>
      <c r="H388" s="16" t="s">
        <v>31</v>
      </c>
      <c r="I388" s="16" t="s">
        <v>32</v>
      </c>
    </row>
    <row r="389">
      <c r="B389" s="24">
        <v>46044</v>
      </c>
      <c r="C389" s="16">
        <v>1508</v>
      </c>
      <c r="D389" t="s">
        <v>132</v>
      </c>
      <c r="E389" t="s">
        <v>133</v>
      </c>
      <c r="F389" s="16">
        <v>1</v>
      </c>
      <c r="G389" s="16" t="s">
        <v>30</v>
      </c>
      <c r="H389" s="16" t="s">
        <v>31</v>
      </c>
      <c r="I389" s="16" t="s">
        <v>32</v>
      </c>
    </row>
    <row r="390">
      <c r="B390" s="24">
        <v>46051</v>
      </c>
      <c r="C390" s="16">
        <v>1522</v>
      </c>
      <c r="D390" t="s">
        <v>132</v>
      </c>
      <c r="E390" t="s">
        <v>133</v>
      </c>
      <c r="F390" s="16">
        <v>1</v>
      </c>
      <c r="G390" s="16" t="s">
        <v>30</v>
      </c>
      <c r="H390" s="16" t="s">
        <v>31</v>
      </c>
      <c r="I390" s="16" t="s">
        <v>32</v>
      </c>
    </row>
    <row r="391">
      <c r="B391" s="24">
        <v>46058</v>
      </c>
      <c r="C391" s="16">
        <v>1255</v>
      </c>
      <c r="D391" t="s">
        <v>132</v>
      </c>
      <c r="E391" t="s">
        <v>133</v>
      </c>
      <c r="F391" s="16">
        <v>1</v>
      </c>
      <c r="G391" s="16" t="s">
        <v>30</v>
      </c>
      <c r="H391" s="16" t="s">
        <v>31</v>
      </c>
      <c r="I391" s="16" t="s">
        <v>32</v>
      </c>
    </row>
    <row r="392">
      <c r="B392" s="24">
        <v>46065</v>
      </c>
      <c r="C392" s="16">
        <v>1274</v>
      </c>
      <c r="D392" t="s">
        <v>132</v>
      </c>
      <c r="E392" t="s">
        <v>133</v>
      </c>
      <c r="F392" s="16">
        <v>1</v>
      </c>
      <c r="G392" s="16" t="s">
        <v>30</v>
      </c>
      <c r="H392" s="16" t="s">
        <v>31</v>
      </c>
      <c r="I392" s="16" t="s">
        <v>32</v>
      </c>
    </row>
    <row r="393">
      <c r="B393" s="24">
        <v>46072</v>
      </c>
      <c r="C393" s="16">
        <v>1206</v>
      </c>
      <c r="D393" t="s">
        <v>132</v>
      </c>
      <c r="E393" t="s">
        <v>133</v>
      </c>
      <c r="F393" s="16">
        <v>1</v>
      </c>
      <c r="G393" s="16" t="s">
        <v>30</v>
      </c>
      <c r="H393" s="16" t="s">
        <v>31</v>
      </c>
      <c r="I393" s="16" t="s">
        <v>32</v>
      </c>
    </row>
    <row r="394">
      <c r="B394" s="24">
        <v>46079</v>
      </c>
      <c r="C394" s="16">
        <v>1034</v>
      </c>
      <c r="D394" t="s">
        <v>132</v>
      </c>
      <c r="E394" t="s">
        <v>133</v>
      </c>
      <c r="F394" s="16">
        <v>1</v>
      </c>
      <c r="G394" s="16" t="s">
        <v>30</v>
      </c>
      <c r="H394" s="16" t="s">
        <v>31</v>
      </c>
      <c r="I394" s="16" t="s">
        <v>32</v>
      </c>
    </row>
    <row r="395">
      <c r="B395" s="24">
        <v>46086</v>
      </c>
      <c r="C395" s="16">
        <v>905</v>
      </c>
      <c r="D395" t="s">
        <v>132</v>
      </c>
      <c r="E395" t="s">
        <v>133</v>
      </c>
      <c r="F395" s="16">
        <v>1</v>
      </c>
      <c r="G395" s="16" t="s">
        <v>30</v>
      </c>
      <c r="H395" s="16" t="s">
        <v>31</v>
      </c>
      <c r="I395" s="16" t="s">
        <v>32</v>
      </c>
    </row>
    <row r="396">
      <c r="B396" s="24">
        <v>46093</v>
      </c>
      <c r="C396" s="16">
        <v>1078</v>
      </c>
      <c r="D396" t="s">
        <v>132</v>
      </c>
      <c r="E396" t="s">
        <v>133</v>
      </c>
      <c r="F396" s="16">
        <v>1</v>
      </c>
      <c r="G396" s="16" t="s">
        <v>30</v>
      </c>
      <c r="H396" s="16" t="s">
        <v>31</v>
      </c>
      <c r="I396" s="16" t="s">
        <v>32</v>
      </c>
    </row>
    <row r="397">
      <c r="B397" s="24">
        <v>46100</v>
      </c>
      <c r="C397" s="16">
        <v>1111</v>
      </c>
      <c r="D397" t="s">
        <v>132</v>
      </c>
      <c r="E397" t="s">
        <v>133</v>
      </c>
      <c r="F397" s="16">
        <v>1</v>
      </c>
      <c r="G397" s="16" t="s">
        <v>30</v>
      </c>
      <c r="H397" s="16" t="s">
        <v>31</v>
      </c>
      <c r="I397" s="16" t="s">
        <v>32</v>
      </c>
    </row>
    <row r="398">
      <c r="B398" s="24">
        <v>46107</v>
      </c>
      <c r="C398" s="16">
        <v>1073</v>
      </c>
      <c r="D398" t="s">
        <v>132</v>
      </c>
      <c r="E398" t="s">
        <v>133</v>
      </c>
      <c r="F398" s="16">
        <v>1</v>
      </c>
      <c r="G398" s="16" t="s">
        <v>30</v>
      </c>
      <c r="H398" s="16" t="s">
        <v>31</v>
      </c>
      <c r="I398" s="16" t="s">
        <v>32</v>
      </c>
    </row>
    <row r="399">
      <c r="B399" s="24">
        <v>46114</v>
      </c>
      <c r="C399" s="16">
        <v>823</v>
      </c>
      <c r="D399" t="s">
        <v>132</v>
      </c>
      <c r="E399" t="s">
        <v>133</v>
      </c>
      <c r="F399" s="16">
        <v>1</v>
      </c>
      <c r="G399" s="16" t="s">
        <v>30</v>
      </c>
      <c r="H399" s="16" t="s">
        <v>31</v>
      </c>
      <c r="I399" s="16" t="s">
        <v>32</v>
      </c>
    </row>
    <row r="400">
      <c r="B400" s="24">
        <v>46121</v>
      </c>
      <c r="C400" s="16">
        <v>1011</v>
      </c>
      <c r="D400" t="s">
        <v>132</v>
      </c>
      <c r="E400" t="s">
        <v>133</v>
      </c>
      <c r="F400" s="16">
        <v>1</v>
      </c>
      <c r="G400" s="16" t="s">
        <v>30</v>
      </c>
      <c r="H400" s="16" t="s">
        <v>31</v>
      </c>
      <c r="I400" s="16" t="s">
        <v>32</v>
      </c>
    </row>
    <row r="401">
      <c r="B401" s="37">
        <v>45897</v>
      </c>
      <c r="C401" s="16">
        <v>1493</v>
      </c>
      <c r="D401" s="1" t="s">
        <v>134</v>
      </c>
      <c r="E401" s="1" t="s">
        <v>135</v>
      </c>
      <c r="F401" s="16">
        <v>1</v>
      </c>
      <c r="G401" s="16" t="s">
        <v>30</v>
      </c>
      <c r="H401" s="16" t="s">
        <v>31</v>
      </c>
      <c r="I401" s="16" t="s">
        <v>32</v>
      </c>
    </row>
    <row r="402">
      <c r="B402" s="24">
        <v>45904</v>
      </c>
      <c r="C402" s="16">
        <v>1739</v>
      </c>
      <c r="D402" s="1" t="s">
        <v>134</v>
      </c>
      <c r="E402" s="1" t="s">
        <v>135</v>
      </c>
      <c r="F402" s="16">
        <v>1</v>
      </c>
      <c r="G402" s="16" t="s">
        <v>30</v>
      </c>
      <c r="H402" s="16" t="s">
        <v>31</v>
      </c>
      <c r="I402" s="16" t="s">
        <v>32</v>
      </c>
    </row>
    <row r="403">
      <c r="B403" s="37">
        <v>45911</v>
      </c>
      <c r="C403" s="16">
        <v>1539</v>
      </c>
      <c r="D403" s="1" t="s">
        <v>134</v>
      </c>
      <c r="E403" s="1" t="s">
        <v>135</v>
      </c>
      <c r="F403" s="16">
        <v>1</v>
      </c>
      <c r="G403" s="16" t="s">
        <v>30</v>
      </c>
      <c r="H403" s="16" t="s">
        <v>31</v>
      </c>
      <c r="I403" s="16" t="s">
        <v>32</v>
      </c>
    </row>
    <row r="404">
      <c r="B404" s="37">
        <v>45918</v>
      </c>
      <c r="C404" s="16">
        <v>1480</v>
      </c>
      <c r="D404" s="1" t="s">
        <v>134</v>
      </c>
      <c r="E404" s="1" t="s">
        <v>135</v>
      </c>
      <c r="F404" s="16">
        <v>1</v>
      </c>
      <c r="G404" s="16" t="s">
        <v>30</v>
      </c>
      <c r="H404" s="16" t="s">
        <v>31</v>
      </c>
      <c r="I404" s="16" t="s">
        <v>32</v>
      </c>
    </row>
    <row r="405">
      <c r="B405" s="37">
        <v>45925</v>
      </c>
      <c r="C405" s="16">
        <v>1488</v>
      </c>
      <c r="D405" s="1" t="s">
        <v>134</v>
      </c>
      <c r="E405" s="1" t="s">
        <v>135</v>
      </c>
      <c r="F405" s="16">
        <v>1</v>
      </c>
      <c r="G405" s="16" t="s">
        <v>30</v>
      </c>
      <c r="H405" s="16" t="s">
        <v>31</v>
      </c>
      <c r="I405" s="16" t="s">
        <v>32</v>
      </c>
    </row>
    <row r="406">
      <c r="B406" s="37">
        <v>45932</v>
      </c>
      <c r="C406" s="16">
        <v>1298</v>
      </c>
      <c r="D406" s="1" t="s">
        <v>134</v>
      </c>
      <c r="E406" s="1" t="s">
        <v>135</v>
      </c>
      <c r="F406" s="16">
        <v>1</v>
      </c>
      <c r="G406" s="16" t="s">
        <v>30</v>
      </c>
      <c r="H406" s="16" t="s">
        <v>31</v>
      </c>
      <c r="I406" s="16" t="s">
        <v>32</v>
      </c>
    </row>
    <row r="407">
      <c r="B407" s="37">
        <v>45946</v>
      </c>
      <c r="C407" s="16">
        <v>1275</v>
      </c>
      <c r="D407" s="1" t="s">
        <v>134</v>
      </c>
      <c r="E407" s="1" t="s">
        <v>135</v>
      </c>
      <c r="F407" s="16">
        <v>1</v>
      </c>
      <c r="G407" s="16" t="s">
        <v>30</v>
      </c>
      <c r="H407" s="16" t="s">
        <v>31</v>
      </c>
      <c r="I407" s="16" t="s">
        <v>32</v>
      </c>
    </row>
    <row r="408">
      <c r="B408" s="37">
        <v>45953</v>
      </c>
      <c r="C408" s="16">
        <v>1337</v>
      </c>
      <c r="D408" s="1" t="s">
        <v>134</v>
      </c>
      <c r="E408" s="1" t="s">
        <v>135</v>
      </c>
      <c r="F408" s="16">
        <v>1</v>
      </c>
      <c r="G408" s="16" t="s">
        <v>30</v>
      </c>
      <c r="H408" s="16" t="s">
        <v>31</v>
      </c>
      <c r="I408" s="16" t="s">
        <v>32</v>
      </c>
    </row>
    <row r="409">
      <c r="B409" s="37">
        <v>45960</v>
      </c>
      <c r="C409" s="16">
        <v>1437</v>
      </c>
      <c r="D409" s="1" t="s">
        <v>134</v>
      </c>
      <c r="E409" s="1" t="s">
        <v>135</v>
      </c>
      <c r="F409" s="16">
        <v>1</v>
      </c>
      <c r="G409" s="16" t="s">
        <v>30</v>
      </c>
      <c r="H409" s="16" t="s">
        <v>31</v>
      </c>
      <c r="I409" s="16" t="s">
        <v>32</v>
      </c>
    </row>
    <row r="410">
      <c r="B410" s="37">
        <v>45967</v>
      </c>
      <c r="C410" s="16">
        <v>1243</v>
      </c>
      <c r="D410" s="1" t="s">
        <v>134</v>
      </c>
      <c r="E410" s="1" t="s">
        <v>135</v>
      </c>
      <c r="F410" s="16">
        <v>1</v>
      </c>
      <c r="G410" s="16" t="s">
        <v>30</v>
      </c>
      <c r="H410" s="16" t="s">
        <v>31</v>
      </c>
      <c r="I410" s="16" t="s">
        <v>32</v>
      </c>
    </row>
    <row r="411">
      <c r="B411" s="37">
        <v>45974</v>
      </c>
      <c r="C411" s="16">
        <v>1470</v>
      </c>
      <c r="D411" s="1" t="s">
        <v>134</v>
      </c>
      <c r="E411" s="1" t="s">
        <v>135</v>
      </c>
      <c r="F411" s="16">
        <v>1</v>
      </c>
      <c r="G411" s="16" t="s">
        <v>30</v>
      </c>
      <c r="H411" s="16" t="s">
        <v>31</v>
      </c>
      <c r="I411" s="16" t="s">
        <v>32</v>
      </c>
    </row>
    <row r="412">
      <c r="B412" s="37">
        <v>45981</v>
      </c>
      <c r="C412" s="16">
        <v>1391</v>
      </c>
      <c r="D412" s="1" t="s">
        <v>134</v>
      </c>
      <c r="E412" s="1" t="s">
        <v>135</v>
      </c>
      <c r="F412" s="16">
        <v>1</v>
      </c>
      <c r="G412" s="16" t="s">
        <v>30</v>
      </c>
      <c r="H412" s="16" t="s">
        <v>31</v>
      </c>
      <c r="I412" s="16" t="s">
        <v>32</v>
      </c>
    </row>
    <row r="413">
      <c r="B413" s="37">
        <v>45988</v>
      </c>
      <c r="C413" s="16">
        <v>1369</v>
      </c>
      <c r="D413" s="1" t="s">
        <v>134</v>
      </c>
      <c r="E413" s="1" t="s">
        <v>135</v>
      </c>
      <c r="F413" s="16">
        <v>1</v>
      </c>
      <c r="G413" s="16" t="s">
        <v>30</v>
      </c>
      <c r="H413" s="16" t="s">
        <v>31</v>
      </c>
      <c r="I413" s="16" t="s">
        <v>32</v>
      </c>
    </row>
    <row r="414">
      <c r="B414" s="37">
        <v>45995</v>
      </c>
      <c r="C414" s="16">
        <v>949</v>
      </c>
      <c r="D414" s="1" t="s">
        <v>134</v>
      </c>
      <c r="E414" s="1" t="s">
        <v>135</v>
      </c>
      <c r="F414" s="16">
        <v>1</v>
      </c>
      <c r="G414" s="16" t="s">
        <v>30</v>
      </c>
      <c r="H414" s="16" t="s">
        <v>31</v>
      </c>
      <c r="I414" s="16" t="s">
        <v>32</v>
      </c>
    </row>
    <row r="415">
      <c r="B415" s="37">
        <v>46002</v>
      </c>
      <c r="C415" s="16">
        <v>1046</v>
      </c>
      <c r="D415" s="1" t="s">
        <v>134</v>
      </c>
      <c r="E415" s="1" t="s">
        <v>135</v>
      </c>
      <c r="F415" s="16">
        <v>1</v>
      </c>
      <c r="G415" s="16" t="s">
        <v>30</v>
      </c>
      <c r="H415" s="16" t="s">
        <v>31</v>
      </c>
      <c r="I415" s="16" t="s">
        <v>32</v>
      </c>
    </row>
    <row r="416">
      <c r="B416" s="37">
        <v>46009</v>
      </c>
      <c r="C416" s="16">
        <v>1299</v>
      </c>
      <c r="D416" s="1" t="s">
        <v>134</v>
      </c>
      <c r="E416" s="1" t="s">
        <v>135</v>
      </c>
      <c r="F416" s="16">
        <v>1</v>
      </c>
      <c r="G416" s="16" t="s">
        <v>30</v>
      </c>
      <c r="H416" s="16" t="s">
        <v>31</v>
      </c>
      <c r="I416" s="16" t="s">
        <v>32</v>
      </c>
    </row>
    <row r="417">
      <c r="B417" s="37">
        <v>46016</v>
      </c>
      <c r="C417" s="16">
        <v>1610</v>
      </c>
      <c r="D417" s="1" t="s">
        <v>134</v>
      </c>
      <c r="E417" s="1" t="s">
        <v>135</v>
      </c>
      <c r="F417" s="16">
        <v>1</v>
      </c>
      <c r="G417" s="16" t="s">
        <v>30</v>
      </c>
      <c r="H417" s="16" t="s">
        <v>31</v>
      </c>
      <c r="I417" s="16" t="s">
        <v>32</v>
      </c>
    </row>
    <row r="418">
      <c r="B418" s="37">
        <v>46037</v>
      </c>
      <c r="C418" s="16">
        <v>1335</v>
      </c>
      <c r="D418" s="1" t="s">
        <v>134</v>
      </c>
      <c r="E418" s="1" t="s">
        <v>135</v>
      </c>
      <c r="F418" s="16">
        <v>1</v>
      </c>
      <c r="G418" s="16" t="s">
        <v>30</v>
      </c>
      <c r="H418" s="16" t="s">
        <v>31</v>
      </c>
      <c r="I418" s="16" t="s">
        <v>32</v>
      </c>
    </row>
    <row r="419">
      <c r="B419" s="37">
        <v>46044</v>
      </c>
      <c r="C419" s="16">
        <v>1258</v>
      </c>
      <c r="D419" s="1" t="s">
        <v>134</v>
      </c>
      <c r="E419" s="1" t="s">
        <v>135</v>
      </c>
      <c r="F419" s="16">
        <v>1</v>
      </c>
      <c r="G419" s="16" t="s">
        <v>30</v>
      </c>
      <c r="H419" s="16" t="s">
        <v>31</v>
      </c>
      <c r="I419" s="16" t="s">
        <v>32</v>
      </c>
    </row>
    <row r="420">
      <c r="B420" s="37">
        <v>46051</v>
      </c>
      <c r="C420" s="16">
        <v>1347</v>
      </c>
      <c r="D420" s="1" t="s">
        <v>134</v>
      </c>
      <c r="E420" s="1" t="s">
        <v>135</v>
      </c>
      <c r="F420" s="16">
        <v>1</v>
      </c>
      <c r="G420" s="16" t="s">
        <v>30</v>
      </c>
      <c r="H420" s="16" t="s">
        <v>31</v>
      </c>
      <c r="I420" s="16" t="s">
        <v>32</v>
      </c>
    </row>
    <row r="421">
      <c r="B421" s="37">
        <v>46058</v>
      </c>
      <c r="C421" s="16">
        <v>1180</v>
      </c>
      <c r="D421" s="1" t="s">
        <v>134</v>
      </c>
      <c r="E421" s="1" t="s">
        <v>135</v>
      </c>
      <c r="F421" s="16">
        <v>1</v>
      </c>
      <c r="G421" s="16" t="s">
        <v>30</v>
      </c>
      <c r="H421" s="16" t="s">
        <v>31</v>
      </c>
      <c r="I421" s="16" t="s">
        <v>32</v>
      </c>
    </row>
    <row r="422">
      <c r="B422" s="37">
        <v>46065</v>
      </c>
      <c r="C422" s="16">
        <v>1237</v>
      </c>
      <c r="D422" s="1" t="s">
        <v>134</v>
      </c>
      <c r="E422" s="1" t="s">
        <v>135</v>
      </c>
      <c r="F422" s="16">
        <v>1</v>
      </c>
      <c r="G422" s="16" t="s">
        <v>30</v>
      </c>
      <c r="H422" s="16" t="s">
        <v>31</v>
      </c>
      <c r="I422" s="16" t="s">
        <v>32</v>
      </c>
    </row>
    <row r="423">
      <c r="B423" s="37">
        <v>46072</v>
      </c>
      <c r="C423" s="16">
        <v>1164</v>
      </c>
      <c r="D423" s="1" t="s">
        <v>134</v>
      </c>
      <c r="E423" s="1" t="s">
        <v>135</v>
      </c>
      <c r="F423" s="16">
        <v>1</v>
      </c>
      <c r="G423" s="16" t="s">
        <v>30</v>
      </c>
      <c r="H423" s="16" t="s">
        <v>31</v>
      </c>
      <c r="I423" s="16" t="s">
        <v>32</v>
      </c>
    </row>
    <row r="424">
      <c r="B424" s="37">
        <v>46079</v>
      </c>
      <c r="C424" s="16">
        <v>1064</v>
      </c>
      <c r="D424" s="1" t="s">
        <v>134</v>
      </c>
      <c r="E424" s="1" t="s">
        <v>135</v>
      </c>
      <c r="F424" s="16">
        <v>1</v>
      </c>
      <c r="G424" s="16" t="s">
        <v>30</v>
      </c>
      <c r="H424" s="16" t="s">
        <v>31</v>
      </c>
      <c r="I424" s="16" t="s">
        <v>32</v>
      </c>
    </row>
    <row r="425">
      <c r="B425" s="37">
        <v>46086</v>
      </c>
      <c r="C425" s="16">
        <v>933</v>
      </c>
      <c r="D425" s="1" t="s">
        <v>134</v>
      </c>
      <c r="E425" s="1" t="s">
        <v>135</v>
      </c>
      <c r="F425" s="16">
        <v>1</v>
      </c>
      <c r="G425" s="16" t="s">
        <v>30</v>
      </c>
      <c r="H425" s="16" t="s">
        <v>31</v>
      </c>
      <c r="I425" s="16" t="s">
        <v>32</v>
      </c>
    </row>
    <row r="426">
      <c r="B426" s="37">
        <v>46093</v>
      </c>
      <c r="C426" s="16">
        <v>1000</v>
      </c>
      <c r="D426" s="1" t="s">
        <v>134</v>
      </c>
      <c r="E426" s="1" t="s">
        <v>135</v>
      </c>
      <c r="F426" s="16">
        <v>1</v>
      </c>
      <c r="G426" s="16" t="s">
        <v>30</v>
      </c>
      <c r="H426" s="16" t="s">
        <v>31</v>
      </c>
      <c r="I426" s="16" t="s">
        <v>32</v>
      </c>
    </row>
    <row r="427">
      <c r="B427" s="37">
        <v>46100</v>
      </c>
      <c r="C427" s="16">
        <v>908</v>
      </c>
      <c r="D427" s="1" t="s">
        <v>134</v>
      </c>
      <c r="E427" s="1" t="s">
        <v>135</v>
      </c>
      <c r="F427" s="16">
        <v>1</v>
      </c>
      <c r="G427" s="16" t="s">
        <v>30</v>
      </c>
      <c r="H427" s="16" t="s">
        <v>31</v>
      </c>
      <c r="I427" s="16" t="s">
        <v>32</v>
      </c>
    </row>
    <row r="428">
      <c r="B428" s="37">
        <v>46107</v>
      </c>
      <c r="C428" s="16">
        <v>999</v>
      </c>
      <c r="D428" s="1" t="s">
        <v>134</v>
      </c>
      <c r="E428" s="1" t="s">
        <v>135</v>
      </c>
      <c r="F428" s="16">
        <v>1</v>
      </c>
      <c r="G428" s="16" t="s">
        <v>30</v>
      </c>
      <c r="H428" s="16" t="s">
        <v>31</v>
      </c>
      <c r="I428" s="16" t="s">
        <v>32</v>
      </c>
    </row>
    <row r="429">
      <c r="B429" s="37">
        <v>46114</v>
      </c>
      <c r="C429" s="16">
        <v>801</v>
      </c>
      <c r="D429" s="1" t="s">
        <v>134</v>
      </c>
      <c r="E429" s="1" t="s">
        <v>135</v>
      </c>
      <c r="F429" s="16">
        <v>1</v>
      </c>
      <c r="G429" s="16" t="s">
        <v>30</v>
      </c>
      <c r="H429" s="16" t="s">
        <v>31</v>
      </c>
      <c r="I429" s="16" t="s">
        <v>32</v>
      </c>
    </row>
    <row r="430">
      <c r="B430" s="37">
        <v>46121</v>
      </c>
      <c r="C430" s="16">
        <v>840</v>
      </c>
      <c r="D430" s="1" t="s">
        <v>134</v>
      </c>
      <c r="E430" s="1" t="s">
        <v>135</v>
      </c>
      <c r="F430" s="16">
        <v>1</v>
      </c>
      <c r="G430" s="16" t="s">
        <v>30</v>
      </c>
      <c r="H430" s="16" t="s">
        <v>31</v>
      </c>
      <c r="I430" s="16" t="s">
        <v>32</v>
      </c>
    </row>
    <row r="431">
      <c r="B431" s="37">
        <v>45897</v>
      </c>
      <c r="C431" s="16">
        <v>381</v>
      </c>
      <c r="D431" t="s">
        <v>136</v>
      </c>
      <c r="E431" s="1" t="s">
        <v>133</v>
      </c>
      <c r="F431" s="16">
        <v>3</v>
      </c>
      <c r="G431" s="16" t="s">
        <v>30</v>
      </c>
      <c r="H431" s="16" t="s">
        <v>31</v>
      </c>
      <c r="I431" s="16" t="s">
        <v>32</v>
      </c>
      <c r="J431" s="1"/>
      <c r="K431" s="1" t="s">
        <v>46</v>
      </c>
    </row>
    <row r="432">
      <c r="B432" s="24">
        <v>45904</v>
      </c>
      <c r="C432" s="16">
        <v>240</v>
      </c>
      <c r="D432" t="s">
        <v>136</v>
      </c>
      <c r="E432" s="1" t="s">
        <v>133</v>
      </c>
      <c r="F432" s="16">
        <v>3</v>
      </c>
      <c r="G432" s="16" t="s">
        <v>30</v>
      </c>
      <c r="H432" s="16" t="s">
        <v>31</v>
      </c>
      <c r="I432" s="16" t="s">
        <v>32</v>
      </c>
      <c r="J432" s="1"/>
      <c r="K432" s="1" t="s">
        <v>46</v>
      </c>
    </row>
    <row r="433">
      <c r="B433" s="37">
        <v>45911</v>
      </c>
      <c r="C433" s="16">
        <v>478</v>
      </c>
      <c r="D433" t="s">
        <v>136</v>
      </c>
      <c r="E433" s="1" t="s">
        <v>133</v>
      </c>
      <c r="F433" s="16">
        <v>3</v>
      </c>
      <c r="G433" s="16" t="s">
        <v>30</v>
      </c>
      <c r="H433" s="16" t="s">
        <v>31</v>
      </c>
      <c r="I433" s="16" t="s">
        <v>32</v>
      </c>
      <c r="J433" s="1"/>
      <c r="K433" s="1" t="s">
        <v>46</v>
      </c>
    </row>
    <row r="434">
      <c r="B434" s="37">
        <v>45918</v>
      </c>
      <c r="C434" s="16">
        <v>307</v>
      </c>
      <c r="D434" t="s">
        <v>136</v>
      </c>
      <c r="E434" s="1" t="s">
        <v>133</v>
      </c>
      <c r="F434" s="16">
        <v>3</v>
      </c>
      <c r="G434" s="16" t="s">
        <v>30</v>
      </c>
      <c r="H434" s="16" t="s">
        <v>31</v>
      </c>
      <c r="I434" s="16" t="s">
        <v>32</v>
      </c>
      <c r="J434" s="1"/>
      <c r="K434" s="1" t="s">
        <v>46</v>
      </c>
    </row>
    <row r="435">
      <c r="B435" s="37">
        <v>45925</v>
      </c>
      <c r="C435" s="16">
        <v>417</v>
      </c>
      <c r="D435" t="s">
        <v>136</v>
      </c>
      <c r="E435" s="1" t="s">
        <v>133</v>
      </c>
      <c r="F435" s="16">
        <v>3</v>
      </c>
      <c r="G435" s="16" t="s">
        <v>30</v>
      </c>
      <c r="H435" s="16" t="s">
        <v>31</v>
      </c>
      <c r="I435" s="16" t="s">
        <v>32</v>
      </c>
      <c r="J435" s="1"/>
      <c r="K435" s="1" t="s">
        <v>46</v>
      </c>
    </row>
    <row r="436">
      <c r="B436" s="37">
        <v>45932</v>
      </c>
      <c r="C436" s="16">
        <v>218</v>
      </c>
      <c r="D436" t="s">
        <v>136</v>
      </c>
      <c r="E436" s="1" t="s">
        <v>133</v>
      </c>
      <c r="F436" s="16">
        <v>3</v>
      </c>
      <c r="G436" s="16" t="s">
        <v>30</v>
      </c>
      <c r="H436" s="16" t="s">
        <v>31</v>
      </c>
      <c r="I436" s="16" t="s">
        <v>32</v>
      </c>
      <c r="J436" s="1"/>
      <c r="K436" s="1" t="s">
        <v>46</v>
      </c>
    </row>
    <row r="437">
      <c r="B437" s="37">
        <v>45946</v>
      </c>
      <c r="C437" s="16">
        <v>329</v>
      </c>
      <c r="D437" t="s">
        <v>136</v>
      </c>
      <c r="E437" s="1" t="s">
        <v>133</v>
      </c>
      <c r="F437" s="16">
        <v>3</v>
      </c>
      <c r="G437" s="16" t="s">
        <v>30</v>
      </c>
      <c r="H437" s="16" t="s">
        <v>31</v>
      </c>
      <c r="I437" s="16" t="s">
        <v>32</v>
      </c>
      <c r="J437" s="1"/>
      <c r="K437" s="1" t="s">
        <v>46</v>
      </c>
    </row>
    <row r="438">
      <c r="B438" s="37">
        <v>45953</v>
      </c>
      <c r="C438" s="16">
        <v>310</v>
      </c>
      <c r="D438" t="s">
        <v>136</v>
      </c>
      <c r="E438" s="1" t="s">
        <v>133</v>
      </c>
      <c r="F438" s="16">
        <v>3</v>
      </c>
      <c r="G438" s="16" t="s">
        <v>30</v>
      </c>
      <c r="H438" s="16" t="s">
        <v>31</v>
      </c>
      <c r="I438" s="16" t="s">
        <v>32</v>
      </c>
      <c r="J438" s="1"/>
      <c r="K438" s="1" t="s">
        <v>46</v>
      </c>
    </row>
    <row r="439">
      <c r="B439" s="37">
        <v>45960</v>
      </c>
      <c r="C439" s="16">
        <v>412</v>
      </c>
      <c r="D439" t="s">
        <v>136</v>
      </c>
      <c r="E439" s="1" t="s">
        <v>133</v>
      </c>
      <c r="F439" s="16">
        <v>3</v>
      </c>
      <c r="G439" s="16" t="s">
        <v>30</v>
      </c>
      <c r="H439" s="16" t="s">
        <v>31</v>
      </c>
      <c r="I439" s="16" t="s">
        <v>32</v>
      </c>
      <c r="J439" s="1"/>
      <c r="K439" s="1" t="s">
        <v>46</v>
      </c>
    </row>
    <row r="440">
      <c r="B440" s="37">
        <v>45967</v>
      </c>
      <c r="C440" s="16">
        <v>215</v>
      </c>
      <c r="D440" t="s">
        <v>136</v>
      </c>
      <c r="E440" s="1" t="s">
        <v>133</v>
      </c>
      <c r="F440" s="16">
        <v>3</v>
      </c>
      <c r="G440" s="16" t="s">
        <v>30</v>
      </c>
      <c r="H440" s="16" t="s">
        <v>31</v>
      </c>
      <c r="I440" s="16" t="s">
        <v>32</v>
      </c>
      <c r="J440" s="1"/>
      <c r="K440" s="1" t="s">
        <v>46</v>
      </c>
    </row>
    <row r="441">
      <c r="B441" s="37">
        <v>45974</v>
      </c>
      <c r="C441" s="16">
        <v>349</v>
      </c>
      <c r="D441" t="s">
        <v>136</v>
      </c>
      <c r="E441" s="1" t="s">
        <v>133</v>
      </c>
      <c r="F441" s="16">
        <v>3</v>
      </c>
      <c r="G441" s="16" t="s">
        <v>30</v>
      </c>
      <c r="H441" s="16" t="s">
        <v>31</v>
      </c>
      <c r="I441" s="16" t="s">
        <v>32</v>
      </c>
      <c r="J441" s="1"/>
      <c r="K441" s="1" t="s">
        <v>46</v>
      </c>
    </row>
    <row r="442">
      <c r="B442" s="37">
        <v>45981</v>
      </c>
      <c r="C442" s="16">
        <v>345</v>
      </c>
      <c r="D442" t="s">
        <v>136</v>
      </c>
      <c r="E442" s="1" t="s">
        <v>133</v>
      </c>
      <c r="F442" s="16">
        <v>3</v>
      </c>
      <c r="G442" s="16" t="s">
        <v>30</v>
      </c>
      <c r="H442" s="16" t="s">
        <v>31</v>
      </c>
      <c r="I442" s="16" t="s">
        <v>32</v>
      </c>
      <c r="J442" s="1"/>
      <c r="K442" s="1" t="s">
        <v>46</v>
      </c>
    </row>
    <row r="443">
      <c r="B443" s="37">
        <v>45988</v>
      </c>
      <c r="C443" s="16">
        <v>422</v>
      </c>
      <c r="D443" t="s">
        <v>136</v>
      </c>
      <c r="E443" s="1" t="s">
        <v>133</v>
      </c>
      <c r="F443" s="16">
        <v>3</v>
      </c>
      <c r="G443" s="16" t="s">
        <v>30</v>
      </c>
      <c r="H443" s="16" t="s">
        <v>31</v>
      </c>
      <c r="I443" s="16" t="s">
        <v>32</v>
      </c>
      <c r="J443" s="1"/>
      <c r="K443" s="1" t="s">
        <v>46</v>
      </c>
    </row>
    <row r="444">
      <c r="B444" s="37">
        <v>45995</v>
      </c>
      <c r="C444" s="16">
        <v>261</v>
      </c>
      <c r="D444" t="s">
        <v>136</v>
      </c>
      <c r="E444" s="1" t="s">
        <v>133</v>
      </c>
      <c r="F444" s="16">
        <v>3</v>
      </c>
      <c r="G444" s="16" t="s">
        <v>30</v>
      </c>
      <c r="H444" s="16" t="s">
        <v>31</v>
      </c>
      <c r="I444" s="16" t="s">
        <v>32</v>
      </c>
      <c r="J444" s="1"/>
      <c r="K444" s="1" t="s">
        <v>46</v>
      </c>
    </row>
    <row r="445">
      <c r="B445" s="37">
        <v>46002</v>
      </c>
      <c r="C445" s="16">
        <v>560</v>
      </c>
      <c r="D445" t="s">
        <v>136</v>
      </c>
      <c r="E445" s="1" t="s">
        <v>133</v>
      </c>
      <c r="F445" s="16">
        <v>3</v>
      </c>
      <c r="G445" s="16" t="s">
        <v>30</v>
      </c>
      <c r="H445" s="16" t="s">
        <v>31</v>
      </c>
      <c r="I445" s="16" t="s">
        <v>32</v>
      </c>
      <c r="J445" s="1"/>
      <c r="K445" s="1" t="s">
        <v>46</v>
      </c>
    </row>
    <row r="446">
      <c r="B446" s="37">
        <v>46009</v>
      </c>
      <c r="C446" s="16">
        <v>879</v>
      </c>
      <c r="D446" t="s">
        <v>136</v>
      </c>
      <c r="E446" s="1" t="s">
        <v>133</v>
      </c>
      <c r="F446" s="16">
        <v>3</v>
      </c>
      <c r="G446" s="16" t="s">
        <v>30</v>
      </c>
      <c r="H446" s="16" t="s">
        <v>31</v>
      </c>
      <c r="I446" s="16" t="s">
        <v>32</v>
      </c>
      <c r="J446" s="1"/>
      <c r="K446" s="1" t="s">
        <v>46</v>
      </c>
    </row>
    <row r="447">
      <c r="B447" s="37">
        <v>46016</v>
      </c>
      <c r="C447" s="16">
        <v>897</v>
      </c>
      <c r="D447" t="s">
        <v>136</v>
      </c>
      <c r="E447" s="1" t="s">
        <v>133</v>
      </c>
      <c r="F447" s="16">
        <v>3</v>
      </c>
      <c r="G447" s="16" t="s">
        <v>30</v>
      </c>
      <c r="H447" s="16" t="s">
        <v>31</v>
      </c>
      <c r="I447" s="16" t="s">
        <v>32</v>
      </c>
      <c r="J447" s="1"/>
      <c r="K447" s="1" t="s">
        <v>46</v>
      </c>
    </row>
    <row r="448">
      <c r="B448" s="37">
        <v>46037</v>
      </c>
      <c r="C448" s="16">
        <v>738</v>
      </c>
      <c r="D448" t="s">
        <v>136</v>
      </c>
      <c r="E448" s="1" t="s">
        <v>133</v>
      </c>
      <c r="F448" s="16">
        <v>3</v>
      </c>
      <c r="G448" s="16" t="s">
        <v>30</v>
      </c>
      <c r="H448" s="16" t="s">
        <v>31</v>
      </c>
      <c r="I448" s="16" t="s">
        <v>32</v>
      </c>
      <c r="J448" s="1"/>
      <c r="K448" s="1" t="s">
        <v>46</v>
      </c>
    </row>
    <row r="449">
      <c r="B449" s="37">
        <v>46044</v>
      </c>
      <c r="C449" s="16">
        <v>598</v>
      </c>
      <c r="D449" t="s">
        <v>136</v>
      </c>
      <c r="E449" s="1" t="s">
        <v>133</v>
      </c>
      <c r="F449" s="16">
        <v>3</v>
      </c>
      <c r="G449" s="16" t="s">
        <v>30</v>
      </c>
      <c r="H449" s="16" t="s">
        <v>31</v>
      </c>
      <c r="I449" s="16" t="s">
        <v>32</v>
      </c>
      <c r="J449" s="1"/>
      <c r="K449" s="1" t="s">
        <v>46</v>
      </c>
    </row>
    <row r="450">
      <c r="B450" s="37">
        <v>46051</v>
      </c>
      <c r="C450" s="16">
        <v>601</v>
      </c>
      <c r="D450" t="s">
        <v>136</v>
      </c>
      <c r="E450" s="1" t="s">
        <v>133</v>
      </c>
      <c r="F450" s="16">
        <v>3</v>
      </c>
      <c r="G450" s="16" t="s">
        <v>30</v>
      </c>
      <c r="H450" s="16" t="s">
        <v>31</v>
      </c>
      <c r="I450" s="16" t="s">
        <v>32</v>
      </c>
      <c r="J450" s="1"/>
      <c r="K450" s="1" t="s">
        <v>46</v>
      </c>
    </row>
    <row r="451">
      <c r="B451" s="37">
        <v>46058</v>
      </c>
      <c r="C451" s="16">
        <v>430</v>
      </c>
      <c r="D451" t="s">
        <v>136</v>
      </c>
      <c r="E451" s="1" t="s">
        <v>133</v>
      </c>
      <c r="F451" s="16">
        <v>3</v>
      </c>
      <c r="G451" s="16" t="s">
        <v>30</v>
      </c>
      <c r="H451" s="16" t="s">
        <v>31</v>
      </c>
      <c r="I451" s="16" t="s">
        <v>32</v>
      </c>
      <c r="J451" s="1"/>
      <c r="K451" s="1" t="s">
        <v>46</v>
      </c>
    </row>
    <row r="452">
      <c r="B452" s="37">
        <v>46065</v>
      </c>
      <c r="C452" s="16">
        <v>560</v>
      </c>
      <c r="D452" t="s">
        <v>136</v>
      </c>
      <c r="E452" s="1" t="s">
        <v>133</v>
      </c>
      <c r="F452" s="16">
        <v>3</v>
      </c>
      <c r="G452" s="16" t="s">
        <v>30</v>
      </c>
      <c r="H452" s="16" t="s">
        <v>31</v>
      </c>
      <c r="I452" s="16" t="s">
        <v>32</v>
      </c>
      <c r="J452" s="1"/>
      <c r="K452" s="1" t="s">
        <v>46</v>
      </c>
    </row>
    <row r="453">
      <c r="B453" s="37">
        <v>46072</v>
      </c>
      <c r="C453" s="16">
        <v>454</v>
      </c>
      <c r="D453" t="s">
        <v>136</v>
      </c>
      <c r="E453" s="1" t="s">
        <v>133</v>
      </c>
      <c r="F453" s="16">
        <v>3</v>
      </c>
      <c r="G453" s="16" t="s">
        <v>30</v>
      </c>
      <c r="H453" s="16" t="s">
        <v>31</v>
      </c>
      <c r="I453" s="16" t="s">
        <v>32</v>
      </c>
      <c r="J453" s="1"/>
      <c r="K453" s="1" t="s">
        <v>46</v>
      </c>
    </row>
    <row r="454">
      <c r="B454" s="37">
        <v>46079</v>
      </c>
      <c r="C454" s="16">
        <v>314</v>
      </c>
      <c r="D454" t="s">
        <v>136</v>
      </c>
      <c r="E454" s="1" t="s">
        <v>133</v>
      </c>
      <c r="F454" s="16">
        <v>3</v>
      </c>
      <c r="G454" s="16" t="s">
        <v>30</v>
      </c>
      <c r="H454" s="16" t="s">
        <v>31</v>
      </c>
      <c r="I454" s="16" t="s">
        <v>32</v>
      </c>
      <c r="J454" s="1"/>
      <c r="K454" s="1" t="s">
        <v>46</v>
      </c>
    </row>
    <row r="455">
      <c r="B455" s="37">
        <v>46086</v>
      </c>
      <c r="C455" s="16">
        <v>336</v>
      </c>
      <c r="D455" t="s">
        <v>136</v>
      </c>
      <c r="E455" s="1" t="s">
        <v>133</v>
      </c>
      <c r="F455" s="16">
        <v>3</v>
      </c>
      <c r="G455" s="16" t="s">
        <v>30</v>
      </c>
      <c r="H455" s="16" t="s">
        <v>31</v>
      </c>
      <c r="I455" s="16" t="s">
        <v>32</v>
      </c>
      <c r="J455" s="1"/>
      <c r="K455" s="1" t="s">
        <v>46</v>
      </c>
    </row>
    <row r="456">
      <c r="B456" s="37">
        <v>46093</v>
      </c>
      <c r="C456" s="16">
        <v>419</v>
      </c>
      <c r="D456" t="s">
        <v>136</v>
      </c>
      <c r="E456" s="1" t="s">
        <v>133</v>
      </c>
      <c r="F456" s="16">
        <v>3</v>
      </c>
      <c r="G456" s="16" t="s">
        <v>30</v>
      </c>
      <c r="H456" s="16" t="s">
        <v>31</v>
      </c>
      <c r="I456" s="16" t="s">
        <v>32</v>
      </c>
      <c r="J456" s="1"/>
      <c r="K456" s="1" t="s">
        <v>46</v>
      </c>
    </row>
    <row r="457">
      <c r="B457" s="37">
        <v>46100</v>
      </c>
      <c r="C457" s="16">
        <v>499</v>
      </c>
      <c r="D457" t="s">
        <v>136</v>
      </c>
      <c r="E457" s="1" t="s">
        <v>133</v>
      </c>
      <c r="F457" s="16">
        <v>3</v>
      </c>
      <c r="G457" s="16" t="s">
        <v>30</v>
      </c>
      <c r="H457" s="16" t="s">
        <v>31</v>
      </c>
      <c r="I457" s="16" t="s">
        <v>32</v>
      </c>
      <c r="J457" s="1"/>
      <c r="K457" s="1" t="s">
        <v>46</v>
      </c>
    </row>
    <row r="458">
      <c r="B458" s="37">
        <v>46107</v>
      </c>
      <c r="C458" s="16">
        <v>503</v>
      </c>
      <c r="D458" t="s">
        <v>136</v>
      </c>
      <c r="E458" s="1" t="s">
        <v>133</v>
      </c>
      <c r="F458" s="16">
        <v>3</v>
      </c>
      <c r="G458" s="16" t="s">
        <v>30</v>
      </c>
      <c r="H458" s="16" t="s">
        <v>31</v>
      </c>
      <c r="I458" s="16" t="s">
        <v>32</v>
      </c>
      <c r="J458" s="1"/>
      <c r="K458" s="1" t="s">
        <v>46</v>
      </c>
    </row>
    <row r="459">
      <c r="B459" s="37">
        <v>46114</v>
      </c>
      <c r="C459" s="16">
        <v>342</v>
      </c>
      <c r="D459" t="s">
        <v>136</v>
      </c>
      <c r="E459" s="1" t="s">
        <v>133</v>
      </c>
      <c r="F459" s="16">
        <v>3</v>
      </c>
      <c r="G459" s="16" t="s">
        <v>30</v>
      </c>
      <c r="H459" s="16" t="s">
        <v>31</v>
      </c>
      <c r="I459" s="16" t="s">
        <v>32</v>
      </c>
      <c r="J459" s="1"/>
      <c r="K459" s="1" t="s">
        <v>46</v>
      </c>
    </row>
    <row r="460">
      <c r="B460" s="37">
        <v>46121</v>
      </c>
      <c r="C460" s="16">
        <v>378</v>
      </c>
      <c r="D460" t="s">
        <v>136</v>
      </c>
      <c r="E460" s="1" t="s">
        <v>133</v>
      </c>
      <c r="F460" s="16">
        <v>3</v>
      </c>
      <c r="G460" s="16" t="s">
        <v>30</v>
      </c>
      <c r="H460" s="16" t="s">
        <v>31</v>
      </c>
      <c r="I460" s="16" t="s">
        <v>32</v>
      </c>
      <c r="J460" s="1"/>
      <c r="K460" s="1" t="s">
        <v>46</v>
      </c>
    </row>
    <row r="461">
      <c r="B461" s="37">
        <v>45897</v>
      </c>
      <c r="C461" s="16">
        <v>188</v>
      </c>
      <c r="D461" t="s">
        <v>137</v>
      </c>
      <c r="E461" s="1" t="s">
        <v>135</v>
      </c>
      <c r="F461" s="16">
        <v>3</v>
      </c>
      <c r="G461" s="16" t="s">
        <v>30</v>
      </c>
      <c r="H461" s="16" t="s">
        <v>31</v>
      </c>
      <c r="I461" s="16" t="s">
        <v>32</v>
      </c>
      <c r="J461" s="1"/>
      <c r="K461" s="1" t="s">
        <v>46</v>
      </c>
    </row>
    <row r="462">
      <c r="B462" s="24">
        <v>45904</v>
      </c>
      <c r="C462" s="16">
        <v>229</v>
      </c>
      <c r="D462" t="s">
        <v>137</v>
      </c>
      <c r="E462" s="1" t="s">
        <v>135</v>
      </c>
      <c r="F462" s="16">
        <v>3</v>
      </c>
      <c r="G462" s="16" t="s">
        <v>30</v>
      </c>
      <c r="H462" s="16" t="s">
        <v>31</v>
      </c>
      <c r="I462" s="16" t="s">
        <v>32</v>
      </c>
      <c r="J462" s="1"/>
      <c r="K462" s="1" t="s">
        <v>46</v>
      </c>
    </row>
    <row r="463">
      <c r="B463" s="37">
        <v>45911</v>
      </c>
      <c r="C463" s="16">
        <v>340</v>
      </c>
      <c r="D463" t="s">
        <v>137</v>
      </c>
      <c r="E463" s="1" t="s">
        <v>135</v>
      </c>
      <c r="F463" s="16">
        <v>3</v>
      </c>
      <c r="G463" s="16" t="s">
        <v>30</v>
      </c>
      <c r="H463" s="16" t="s">
        <v>31</v>
      </c>
      <c r="I463" s="16" t="s">
        <v>32</v>
      </c>
      <c r="J463" s="1"/>
      <c r="K463" s="1" t="s">
        <v>46</v>
      </c>
    </row>
    <row r="464">
      <c r="B464" s="37">
        <v>45918</v>
      </c>
      <c r="C464" s="16">
        <v>283</v>
      </c>
      <c r="D464" t="s">
        <v>137</v>
      </c>
      <c r="E464" s="1" t="s">
        <v>135</v>
      </c>
      <c r="F464" s="16">
        <v>3</v>
      </c>
      <c r="G464" s="16" t="s">
        <v>30</v>
      </c>
      <c r="H464" s="16" t="s">
        <v>31</v>
      </c>
      <c r="I464" s="16" t="s">
        <v>32</v>
      </c>
      <c r="J464" s="1"/>
      <c r="K464" s="1" t="s">
        <v>46</v>
      </c>
    </row>
    <row r="465">
      <c r="B465" s="37">
        <v>45925</v>
      </c>
      <c r="C465" s="16">
        <v>359</v>
      </c>
      <c r="D465" t="s">
        <v>137</v>
      </c>
      <c r="E465" s="1" t="s">
        <v>135</v>
      </c>
      <c r="F465" s="16">
        <v>3</v>
      </c>
      <c r="G465" s="16" t="s">
        <v>30</v>
      </c>
      <c r="H465" s="16" t="s">
        <v>31</v>
      </c>
      <c r="I465" s="16" t="s">
        <v>32</v>
      </c>
      <c r="J465" s="1"/>
      <c r="K465" s="1" t="s">
        <v>46</v>
      </c>
    </row>
    <row r="466">
      <c r="B466" s="37">
        <v>45932</v>
      </c>
      <c r="C466" s="16">
        <v>282</v>
      </c>
      <c r="D466" t="s">
        <v>137</v>
      </c>
      <c r="E466" s="1" t="s">
        <v>135</v>
      </c>
      <c r="F466" s="16">
        <v>3</v>
      </c>
      <c r="G466" s="16" t="s">
        <v>30</v>
      </c>
      <c r="H466" s="16" t="s">
        <v>31</v>
      </c>
      <c r="I466" s="16" t="s">
        <v>32</v>
      </c>
      <c r="J466" s="1"/>
      <c r="K466" s="1" t="s">
        <v>46</v>
      </c>
    </row>
    <row r="467">
      <c r="B467" s="37">
        <v>45946</v>
      </c>
      <c r="C467" s="16">
        <v>369</v>
      </c>
      <c r="D467" t="s">
        <v>137</v>
      </c>
      <c r="E467" s="1" t="s">
        <v>135</v>
      </c>
      <c r="F467" s="16">
        <v>3</v>
      </c>
      <c r="G467" s="16" t="s">
        <v>30</v>
      </c>
      <c r="H467" s="16" t="s">
        <v>31</v>
      </c>
      <c r="I467" s="16" t="s">
        <v>32</v>
      </c>
      <c r="J467" s="1"/>
      <c r="K467" s="1" t="s">
        <v>46</v>
      </c>
    </row>
    <row r="468">
      <c r="B468" s="37">
        <v>45953</v>
      </c>
      <c r="C468" s="16">
        <v>369</v>
      </c>
      <c r="D468" t="s">
        <v>137</v>
      </c>
      <c r="E468" s="1" t="s">
        <v>135</v>
      </c>
      <c r="F468" s="16">
        <v>3</v>
      </c>
      <c r="G468" s="16" t="s">
        <v>30</v>
      </c>
      <c r="H468" s="16" t="s">
        <v>31</v>
      </c>
      <c r="I468" s="16" t="s">
        <v>32</v>
      </c>
      <c r="J468" s="1"/>
      <c r="K468" s="1" t="s">
        <v>46</v>
      </c>
    </row>
    <row r="469">
      <c r="B469" s="37">
        <v>45960</v>
      </c>
      <c r="C469" s="16">
        <v>407</v>
      </c>
      <c r="D469" t="s">
        <v>137</v>
      </c>
      <c r="E469" s="1" t="s">
        <v>135</v>
      </c>
      <c r="F469" s="16">
        <v>3</v>
      </c>
      <c r="G469" s="16" t="s">
        <v>30</v>
      </c>
      <c r="H469" s="16" t="s">
        <v>31</v>
      </c>
      <c r="I469" s="16" t="s">
        <v>32</v>
      </c>
      <c r="J469" s="1"/>
      <c r="K469" s="1" t="s">
        <v>46</v>
      </c>
    </row>
    <row r="470">
      <c r="B470" s="37">
        <v>45967</v>
      </c>
      <c r="C470" s="16">
        <v>262</v>
      </c>
      <c r="D470" t="s">
        <v>137</v>
      </c>
      <c r="E470" s="1" t="s">
        <v>135</v>
      </c>
      <c r="F470" s="16">
        <v>3</v>
      </c>
      <c r="G470" s="16" t="s">
        <v>30</v>
      </c>
      <c r="H470" s="16" t="s">
        <v>31</v>
      </c>
      <c r="I470" s="16" t="s">
        <v>32</v>
      </c>
      <c r="J470" s="1"/>
      <c r="K470" s="1" t="s">
        <v>46</v>
      </c>
    </row>
    <row r="471">
      <c r="B471" s="37">
        <v>45974</v>
      </c>
      <c r="C471" s="16">
        <v>360</v>
      </c>
      <c r="D471" t="s">
        <v>137</v>
      </c>
      <c r="E471" s="1" t="s">
        <v>135</v>
      </c>
      <c r="F471" s="16">
        <v>3</v>
      </c>
      <c r="G471" s="16" t="s">
        <v>30</v>
      </c>
      <c r="H471" s="16" t="s">
        <v>31</v>
      </c>
      <c r="I471" s="16" t="s">
        <v>32</v>
      </c>
      <c r="J471" s="1"/>
      <c r="K471" s="1" t="s">
        <v>46</v>
      </c>
    </row>
    <row r="472">
      <c r="B472" s="37">
        <v>45981</v>
      </c>
      <c r="C472" s="16">
        <v>348</v>
      </c>
      <c r="D472" t="s">
        <v>137</v>
      </c>
      <c r="E472" s="1" t="s">
        <v>135</v>
      </c>
      <c r="F472" s="16">
        <v>3</v>
      </c>
      <c r="G472" s="16" t="s">
        <v>30</v>
      </c>
      <c r="H472" s="16" t="s">
        <v>31</v>
      </c>
      <c r="I472" s="16" t="s">
        <v>32</v>
      </c>
      <c r="J472" s="1"/>
      <c r="K472" s="1" t="s">
        <v>46</v>
      </c>
    </row>
    <row r="473">
      <c r="B473" s="37">
        <v>45988</v>
      </c>
      <c r="C473" s="16">
        <v>375</v>
      </c>
      <c r="D473" t="s">
        <v>137</v>
      </c>
      <c r="E473" s="1" t="s">
        <v>135</v>
      </c>
      <c r="F473" s="16">
        <v>3</v>
      </c>
      <c r="G473" s="16" t="s">
        <v>30</v>
      </c>
      <c r="H473" s="16" t="s">
        <v>31</v>
      </c>
      <c r="I473" s="16" t="s">
        <v>32</v>
      </c>
      <c r="J473" s="1"/>
      <c r="K473" s="1" t="s">
        <v>46</v>
      </c>
    </row>
    <row r="474">
      <c r="B474" s="37">
        <v>45995</v>
      </c>
      <c r="C474" s="16">
        <v>281</v>
      </c>
      <c r="D474" t="s">
        <v>137</v>
      </c>
      <c r="E474" s="1" t="s">
        <v>135</v>
      </c>
      <c r="F474" s="16">
        <v>3</v>
      </c>
      <c r="G474" s="16" t="s">
        <v>30</v>
      </c>
      <c r="H474" s="16" t="s">
        <v>31</v>
      </c>
      <c r="I474" s="16" t="s">
        <v>32</v>
      </c>
      <c r="J474" s="1"/>
      <c r="K474" s="1" t="s">
        <v>46</v>
      </c>
    </row>
    <row r="475">
      <c r="B475" s="37">
        <v>46002</v>
      </c>
      <c r="C475" s="16">
        <v>390</v>
      </c>
      <c r="D475" t="s">
        <v>137</v>
      </c>
      <c r="E475" s="1" t="s">
        <v>135</v>
      </c>
      <c r="F475" s="16">
        <v>3</v>
      </c>
      <c r="G475" s="16" t="s">
        <v>30</v>
      </c>
      <c r="H475" s="16" t="s">
        <v>31</v>
      </c>
      <c r="I475" s="16" t="s">
        <v>32</v>
      </c>
      <c r="J475" s="1"/>
      <c r="K475" s="1" t="s">
        <v>46</v>
      </c>
    </row>
    <row r="476">
      <c r="B476" s="37">
        <v>46009</v>
      </c>
      <c r="C476" s="16">
        <v>418</v>
      </c>
      <c r="D476" t="s">
        <v>137</v>
      </c>
      <c r="E476" s="1" t="s">
        <v>135</v>
      </c>
      <c r="F476" s="16">
        <v>3</v>
      </c>
      <c r="G476" s="16" t="s">
        <v>30</v>
      </c>
      <c r="H476" s="16" t="s">
        <v>31</v>
      </c>
      <c r="I476" s="16" t="s">
        <v>32</v>
      </c>
      <c r="J476" s="1"/>
      <c r="K476" s="1" t="s">
        <v>46</v>
      </c>
    </row>
    <row r="477">
      <c r="B477" s="37">
        <v>46016</v>
      </c>
      <c r="C477" s="16">
        <v>504</v>
      </c>
      <c r="D477" t="s">
        <v>137</v>
      </c>
      <c r="E477" s="1" t="s">
        <v>135</v>
      </c>
      <c r="F477" s="16">
        <v>3</v>
      </c>
      <c r="G477" s="16" t="s">
        <v>30</v>
      </c>
      <c r="H477" s="16" t="s">
        <v>31</v>
      </c>
      <c r="I477" s="16" t="s">
        <v>32</v>
      </c>
      <c r="J477" s="1"/>
      <c r="K477" s="1" t="s">
        <v>46</v>
      </c>
    </row>
    <row r="478">
      <c r="B478" s="37">
        <v>46037</v>
      </c>
      <c r="C478" s="16">
        <v>390</v>
      </c>
      <c r="D478" t="s">
        <v>137</v>
      </c>
      <c r="E478" s="1" t="s">
        <v>135</v>
      </c>
      <c r="F478" s="16">
        <v>3</v>
      </c>
      <c r="G478" s="16" t="s">
        <v>30</v>
      </c>
      <c r="H478" s="16" t="s">
        <v>31</v>
      </c>
      <c r="I478" s="16" t="s">
        <v>32</v>
      </c>
      <c r="J478" s="1"/>
      <c r="K478" s="1" t="s">
        <v>46</v>
      </c>
    </row>
    <row r="479">
      <c r="B479" s="37">
        <v>46044</v>
      </c>
      <c r="C479" s="16">
        <v>397</v>
      </c>
      <c r="D479" t="s">
        <v>137</v>
      </c>
      <c r="E479" s="1" t="s">
        <v>135</v>
      </c>
      <c r="F479" s="16">
        <v>3</v>
      </c>
      <c r="G479" s="16" t="s">
        <v>30</v>
      </c>
      <c r="H479" s="16" t="s">
        <v>31</v>
      </c>
      <c r="I479" s="16" t="s">
        <v>32</v>
      </c>
      <c r="J479" s="1"/>
      <c r="K479" s="1" t="s">
        <v>46</v>
      </c>
    </row>
    <row r="480">
      <c r="B480" s="37">
        <v>46051</v>
      </c>
      <c r="C480" s="16">
        <v>382</v>
      </c>
      <c r="D480" t="s">
        <v>137</v>
      </c>
      <c r="E480" s="1" t="s">
        <v>135</v>
      </c>
      <c r="F480" s="16">
        <v>3</v>
      </c>
      <c r="G480" s="16" t="s">
        <v>30</v>
      </c>
      <c r="H480" s="16" t="s">
        <v>31</v>
      </c>
      <c r="I480" s="16" t="s">
        <v>32</v>
      </c>
      <c r="J480" s="1"/>
      <c r="K480" s="1" t="s">
        <v>46</v>
      </c>
    </row>
    <row r="481">
      <c r="B481" s="37">
        <v>46058</v>
      </c>
      <c r="C481" s="16">
        <v>297</v>
      </c>
      <c r="D481" t="s">
        <v>137</v>
      </c>
      <c r="E481" s="1" t="s">
        <v>135</v>
      </c>
      <c r="F481" s="16">
        <v>3</v>
      </c>
      <c r="G481" s="16" t="s">
        <v>30</v>
      </c>
      <c r="H481" s="16" t="s">
        <v>31</v>
      </c>
      <c r="I481" s="16" t="s">
        <v>32</v>
      </c>
      <c r="J481" s="1"/>
      <c r="K481" s="1" t="s">
        <v>46</v>
      </c>
    </row>
    <row r="482">
      <c r="B482" s="37">
        <v>46065</v>
      </c>
      <c r="C482" s="16">
        <v>383</v>
      </c>
      <c r="D482" t="s">
        <v>137</v>
      </c>
      <c r="E482" s="1" t="s">
        <v>135</v>
      </c>
      <c r="F482" s="16">
        <v>3</v>
      </c>
      <c r="G482" s="16" t="s">
        <v>30</v>
      </c>
      <c r="H482" s="16" t="s">
        <v>31</v>
      </c>
      <c r="I482" s="16" t="s">
        <v>32</v>
      </c>
      <c r="J482" s="1"/>
      <c r="K482" s="1" t="s">
        <v>46</v>
      </c>
    </row>
    <row r="483">
      <c r="B483" s="37">
        <v>46072</v>
      </c>
      <c r="C483" s="16">
        <v>296</v>
      </c>
      <c r="D483" t="s">
        <v>137</v>
      </c>
      <c r="E483" s="1" t="s">
        <v>135</v>
      </c>
      <c r="F483" s="16">
        <v>3</v>
      </c>
      <c r="G483" s="16" t="s">
        <v>30</v>
      </c>
      <c r="H483" s="16" t="s">
        <v>31</v>
      </c>
      <c r="I483" s="16" t="s">
        <v>32</v>
      </c>
      <c r="J483" s="1"/>
      <c r="K483" s="1" t="s">
        <v>46</v>
      </c>
    </row>
    <row r="484">
      <c r="B484" s="37">
        <v>46079</v>
      </c>
      <c r="C484" s="16">
        <v>208</v>
      </c>
      <c r="D484" t="s">
        <v>137</v>
      </c>
      <c r="E484" s="1" t="s">
        <v>135</v>
      </c>
      <c r="F484" s="16">
        <v>3</v>
      </c>
      <c r="G484" s="16" t="s">
        <v>30</v>
      </c>
      <c r="H484" s="16" t="s">
        <v>31</v>
      </c>
      <c r="I484" s="16" t="s">
        <v>32</v>
      </c>
      <c r="J484" s="1"/>
      <c r="K484" s="1" t="s">
        <v>46</v>
      </c>
    </row>
    <row r="485">
      <c r="B485" s="37">
        <v>46086</v>
      </c>
      <c r="C485" s="16">
        <v>175</v>
      </c>
      <c r="D485" t="s">
        <v>137</v>
      </c>
      <c r="E485" s="1" t="s">
        <v>135</v>
      </c>
      <c r="F485" s="16">
        <v>3</v>
      </c>
      <c r="G485" s="16" t="s">
        <v>30</v>
      </c>
      <c r="H485" s="16" t="s">
        <v>31</v>
      </c>
      <c r="I485" s="16" t="s">
        <v>32</v>
      </c>
      <c r="J485" s="1"/>
      <c r="K485" s="1" t="s">
        <v>46</v>
      </c>
    </row>
    <row r="486">
      <c r="B486" s="37">
        <v>46093</v>
      </c>
      <c r="C486" s="16">
        <v>250</v>
      </c>
      <c r="D486" t="s">
        <v>137</v>
      </c>
      <c r="E486" s="1" t="s">
        <v>135</v>
      </c>
      <c r="F486" s="16">
        <v>3</v>
      </c>
      <c r="G486" s="16" t="s">
        <v>30</v>
      </c>
      <c r="H486" s="16" t="s">
        <v>31</v>
      </c>
      <c r="I486" s="16" t="s">
        <v>32</v>
      </c>
      <c r="J486" s="1"/>
      <c r="K486" s="1" t="s">
        <v>46</v>
      </c>
    </row>
    <row r="487">
      <c r="B487" s="37">
        <v>46100</v>
      </c>
      <c r="C487" s="16">
        <v>217</v>
      </c>
      <c r="D487" t="s">
        <v>137</v>
      </c>
      <c r="E487" s="1" t="s">
        <v>135</v>
      </c>
      <c r="F487" s="16">
        <v>3</v>
      </c>
      <c r="G487" s="16" t="s">
        <v>30</v>
      </c>
      <c r="H487" s="16" t="s">
        <v>31</v>
      </c>
      <c r="I487" s="16" t="s">
        <v>32</v>
      </c>
      <c r="J487" s="1"/>
      <c r="K487" s="1" t="s">
        <v>46</v>
      </c>
    </row>
    <row r="488">
      <c r="B488" s="37">
        <v>46107</v>
      </c>
      <c r="C488" s="16">
        <v>306</v>
      </c>
      <c r="D488" t="s">
        <v>137</v>
      </c>
      <c r="E488" s="1" t="s">
        <v>135</v>
      </c>
      <c r="F488" s="16">
        <v>3</v>
      </c>
      <c r="G488" s="16" t="s">
        <v>30</v>
      </c>
      <c r="H488" s="16" t="s">
        <v>31</v>
      </c>
      <c r="I488" s="16" t="s">
        <v>32</v>
      </c>
      <c r="J488" s="1"/>
      <c r="K488" s="1" t="s">
        <v>46</v>
      </c>
    </row>
    <row r="489">
      <c r="B489" s="37">
        <v>46114</v>
      </c>
      <c r="C489" s="16">
        <v>208</v>
      </c>
      <c r="D489" t="s">
        <v>137</v>
      </c>
      <c r="E489" s="1" t="s">
        <v>135</v>
      </c>
      <c r="F489" s="16">
        <v>3</v>
      </c>
      <c r="G489" s="16" t="s">
        <v>30</v>
      </c>
      <c r="H489" s="16" t="s">
        <v>31</v>
      </c>
      <c r="I489" s="16" t="s">
        <v>32</v>
      </c>
      <c r="J489" s="1"/>
      <c r="K489" s="1" t="s">
        <v>46</v>
      </c>
    </row>
    <row r="490">
      <c r="B490" s="37">
        <v>46121</v>
      </c>
      <c r="C490" s="16">
        <v>242</v>
      </c>
      <c r="D490" t="s">
        <v>137</v>
      </c>
      <c r="E490" s="1" t="s">
        <v>135</v>
      </c>
      <c r="F490" s="16">
        <v>3</v>
      </c>
      <c r="G490" s="16" t="s">
        <v>30</v>
      </c>
      <c r="H490" s="16" t="s">
        <v>31</v>
      </c>
      <c r="I490" s="16" t="s">
        <v>32</v>
      </c>
      <c r="J490" s="1"/>
      <c r="K490" s="1" t="s">
        <v>46</v>
      </c>
    </row>
    <row r="491">
      <c r="B491" s="24">
        <v>45911</v>
      </c>
      <c r="C491" s="16">
        <v>86</v>
      </c>
      <c r="D491" s="1" t="s">
        <v>138</v>
      </c>
      <c r="E491" t="s">
        <v>139</v>
      </c>
      <c r="F491" s="16">
        <v>2</v>
      </c>
      <c r="G491" s="16" t="s">
        <v>30</v>
      </c>
      <c r="H491" s="16" t="s">
        <v>31</v>
      </c>
      <c r="I491" s="16" t="s">
        <v>32</v>
      </c>
      <c r="L491" t="s">
        <v>140</v>
      </c>
    </row>
    <row r="492">
      <c r="B492" s="24">
        <v>45911</v>
      </c>
      <c r="C492" s="16">
        <v>124</v>
      </c>
      <c r="D492" s="1" t="s">
        <v>138</v>
      </c>
      <c r="E492" t="s">
        <v>139</v>
      </c>
      <c r="F492" s="16">
        <v>2</v>
      </c>
      <c r="G492" s="16" t="s">
        <v>30</v>
      </c>
      <c r="H492" s="16" t="s">
        <v>31</v>
      </c>
      <c r="I492" s="16" t="s">
        <v>32</v>
      </c>
      <c r="L492" t="s">
        <v>141</v>
      </c>
    </row>
    <row r="493">
      <c r="B493" s="24">
        <v>45911</v>
      </c>
      <c r="C493" s="16">
        <v>3</v>
      </c>
      <c r="D493" s="1" t="s">
        <v>138</v>
      </c>
      <c r="E493" s="1" t="s">
        <v>139</v>
      </c>
      <c r="F493" s="16">
        <v>2</v>
      </c>
      <c r="G493" s="16" t="s">
        <v>30</v>
      </c>
      <c r="H493" s="16" t="s">
        <v>31</v>
      </c>
      <c r="I493" s="16" t="s">
        <v>32</v>
      </c>
      <c r="L493" t="s">
        <v>142</v>
      </c>
    </row>
    <row r="494">
      <c r="B494" s="24">
        <v>45911</v>
      </c>
      <c r="C494" s="16">
        <v>24</v>
      </c>
      <c r="D494" s="1" t="s">
        <v>138</v>
      </c>
      <c r="E494" s="1" t="s">
        <v>139</v>
      </c>
      <c r="F494" s="16">
        <v>2</v>
      </c>
      <c r="G494" s="16" t="s">
        <v>30</v>
      </c>
      <c r="H494" s="16" t="s">
        <v>31</v>
      </c>
      <c r="I494" s="16" t="s">
        <v>32</v>
      </c>
      <c r="L494" t="s">
        <v>143</v>
      </c>
    </row>
    <row r="495">
      <c r="B495" s="24">
        <v>45911</v>
      </c>
      <c r="C495" s="16">
        <v>78</v>
      </c>
      <c r="D495" s="1" t="s">
        <v>138</v>
      </c>
      <c r="E495" s="1" t="s">
        <v>139</v>
      </c>
      <c r="F495" s="16">
        <v>2</v>
      </c>
      <c r="G495" s="16" t="s">
        <v>30</v>
      </c>
      <c r="H495" s="16" t="s">
        <v>31</v>
      </c>
      <c r="I495" s="16" t="s">
        <v>32</v>
      </c>
      <c r="L495" t="s">
        <v>144</v>
      </c>
    </row>
    <row r="496">
      <c r="B496" s="37">
        <v>45911</v>
      </c>
      <c r="C496" s="16">
        <v>250</v>
      </c>
      <c r="D496" s="1" t="s">
        <v>138</v>
      </c>
      <c r="E496" s="1" t="s">
        <v>139</v>
      </c>
      <c r="F496" s="16">
        <v>2</v>
      </c>
      <c r="G496" s="16" t="s">
        <v>30</v>
      </c>
      <c r="H496" s="16" t="s">
        <v>31</v>
      </c>
      <c r="I496" s="16" t="s">
        <v>32</v>
      </c>
      <c r="L496" t="s">
        <v>140</v>
      </c>
    </row>
    <row r="497">
      <c r="B497" s="37">
        <v>45911</v>
      </c>
      <c r="C497" s="16">
        <v>155</v>
      </c>
      <c r="D497" s="1" t="s">
        <v>138</v>
      </c>
      <c r="E497" s="1" t="s">
        <v>139</v>
      </c>
      <c r="F497" s="16">
        <v>2</v>
      </c>
      <c r="G497" s="16" t="s">
        <v>30</v>
      </c>
      <c r="H497" s="16" t="s">
        <v>31</v>
      </c>
      <c r="I497" s="16" t="s">
        <v>32</v>
      </c>
      <c r="L497" t="s">
        <v>141</v>
      </c>
    </row>
    <row r="498">
      <c r="B498" s="37">
        <v>45911</v>
      </c>
      <c r="C498" s="16">
        <v>9</v>
      </c>
      <c r="D498" s="1" t="s">
        <v>138</v>
      </c>
      <c r="E498" s="1" t="s">
        <v>139</v>
      </c>
      <c r="F498" s="16">
        <v>2</v>
      </c>
      <c r="G498" s="16" t="s">
        <v>30</v>
      </c>
      <c r="H498" s="16" t="s">
        <v>31</v>
      </c>
      <c r="I498" s="16" t="s">
        <v>32</v>
      </c>
      <c r="L498" t="s">
        <v>142</v>
      </c>
    </row>
    <row r="499">
      <c r="B499" s="37">
        <v>45911</v>
      </c>
      <c r="C499" s="16">
        <v>47</v>
      </c>
      <c r="D499" s="1" t="s">
        <v>138</v>
      </c>
      <c r="E499" s="1" t="s">
        <v>139</v>
      </c>
      <c r="F499" s="16">
        <v>2</v>
      </c>
      <c r="G499" s="16" t="s">
        <v>30</v>
      </c>
      <c r="H499" s="16" t="s">
        <v>31</v>
      </c>
      <c r="I499" s="16" t="s">
        <v>32</v>
      </c>
      <c r="L499" t="s">
        <v>143</v>
      </c>
    </row>
    <row r="500">
      <c r="B500" s="37">
        <v>45911</v>
      </c>
      <c r="C500" s="16">
        <v>148</v>
      </c>
      <c r="D500" s="1" t="s">
        <v>138</v>
      </c>
      <c r="E500" s="1" t="s">
        <v>139</v>
      </c>
      <c r="F500" s="16">
        <v>2</v>
      </c>
      <c r="G500" s="16" t="s">
        <v>30</v>
      </c>
      <c r="H500" s="16" t="s">
        <v>31</v>
      </c>
      <c r="I500" s="16" t="s">
        <v>32</v>
      </c>
      <c r="L500" t="s">
        <v>144</v>
      </c>
    </row>
    <row r="501">
      <c r="B501" s="24">
        <v>45918</v>
      </c>
      <c r="C501" s="16">
        <v>331</v>
      </c>
      <c r="D501" s="1" t="s">
        <v>138</v>
      </c>
      <c r="E501" s="1" t="s">
        <v>139</v>
      </c>
      <c r="F501" s="16">
        <v>2</v>
      </c>
      <c r="G501" s="16" t="s">
        <v>30</v>
      </c>
      <c r="H501" s="16" t="s">
        <v>31</v>
      </c>
      <c r="I501" s="16" t="s">
        <v>32</v>
      </c>
      <c r="L501" t="s">
        <v>140</v>
      </c>
    </row>
    <row r="502">
      <c r="B502" s="24">
        <v>45918</v>
      </c>
      <c r="C502" s="16">
        <v>340</v>
      </c>
      <c r="D502" s="1" t="s">
        <v>138</v>
      </c>
      <c r="E502" s="1" t="s">
        <v>139</v>
      </c>
      <c r="F502" s="16">
        <v>2</v>
      </c>
      <c r="G502" s="16" t="s">
        <v>30</v>
      </c>
      <c r="H502" s="16" t="s">
        <v>31</v>
      </c>
      <c r="I502" s="16" t="s">
        <v>32</v>
      </c>
      <c r="L502" t="s">
        <v>141</v>
      </c>
    </row>
    <row r="503">
      <c r="B503" s="24">
        <v>45918</v>
      </c>
      <c r="C503" s="16">
        <v>13</v>
      </c>
      <c r="D503" s="1" t="s">
        <v>138</v>
      </c>
      <c r="E503" s="1" t="s">
        <v>139</v>
      </c>
      <c r="F503" s="16">
        <v>2</v>
      </c>
      <c r="G503" s="16" t="s">
        <v>30</v>
      </c>
      <c r="H503" s="16" t="s">
        <v>31</v>
      </c>
      <c r="I503" s="16" t="s">
        <v>32</v>
      </c>
      <c r="L503" t="s">
        <v>142</v>
      </c>
    </row>
    <row r="504">
      <c r="B504" s="24">
        <v>45918</v>
      </c>
      <c r="C504" s="16">
        <v>65</v>
      </c>
      <c r="D504" s="1" t="s">
        <v>138</v>
      </c>
      <c r="E504" s="1" t="s">
        <v>139</v>
      </c>
      <c r="F504" s="16">
        <v>2</v>
      </c>
      <c r="G504" s="16" t="s">
        <v>30</v>
      </c>
      <c r="H504" s="16" t="s">
        <v>31</v>
      </c>
      <c r="I504" s="16" t="s">
        <v>32</v>
      </c>
      <c r="L504" t="s">
        <v>143</v>
      </c>
    </row>
    <row r="505">
      <c r="B505" s="24">
        <v>45918</v>
      </c>
      <c r="C505" s="16">
        <v>238</v>
      </c>
      <c r="D505" s="1" t="s">
        <v>138</v>
      </c>
      <c r="E505" s="1" t="s">
        <v>139</v>
      </c>
      <c r="F505" s="16">
        <v>2</v>
      </c>
      <c r="G505" s="16" t="s">
        <v>30</v>
      </c>
      <c r="H505" s="16" t="s">
        <v>31</v>
      </c>
      <c r="I505" s="16" t="s">
        <v>32</v>
      </c>
      <c r="L505" t="s">
        <v>144</v>
      </c>
    </row>
    <row r="506">
      <c r="B506" s="24">
        <v>45925</v>
      </c>
      <c r="C506" s="16">
        <v>276</v>
      </c>
      <c r="D506" s="1" t="s">
        <v>138</v>
      </c>
      <c r="E506" s="1" t="s">
        <v>139</v>
      </c>
      <c r="F506" s="16">
        <v>2</v>
      </c>
      <c r="G506" s="16" t="s">
        <v>30</v>
      </c>
      <c r="H506" s="16" t="s">
        <v>31</v>
      </c>
      <c r="I506" s="16" t="s">
        <v>32</v>
      </c>
      <c r="L506" t="s">
        <v>140</v>
      </c>
    </row>
    <row r="507">
      <c r="B507" s="24">
        <v>45925</v>
      </c>
      <c r="C507" s="16">
        <v>314</v>
      </c>
      <c r="D507" s="1" t="s">
        <v>138</v>
      </c>
      <c r="E507" s="1" t="s">
        <v>139</v>
      </c>
      <c r="F507" s="16">
        <v>2</v>
      </c>
      <c r="G507" s="16" t="s">
        <v>30</v>
      </c>
      <c r="H507" s="16" t="s">
        <v>31</v>
      </c>
      <c r="I507" s="16" t="s">
        <v>32</v>
      </c>
      <c r="L507" t="s">
        <v>141</v>
      </c>
    </row>
    <row r="508">
      <c r="B508" s="24">
        <v>45925</v>
      </c>
      <c r="C508" s="16">
        <v>8</v>
      </c>
      <c r="D508" s="1" t="s">
        <v>138</v>
      </c>
      <c r="E508" s="1" t="s">
        <v>139</v>
      </c>
      <c r="F508" s="16">
        <v>2</v>
      </c>
      <c r="G508" s="16" t="s">
        <v>30</v>
      </c>
      <c r="H508" s="16" t="s">
        <v>31</v>
      </c>
      <c r="I508" s="16" t="s">
        <v>32</v>
      </c>
      <c r="L508" t="s">
        <v>142</v>
      </c>
    </row>
    <row r="509">
      <c r="B509" s="24">
        <v>45925</v>
      </c>
      <c r="C509" s="16">
        <v>79</v>
      </c>
      <c r="D509" s="1" t="s">
        <v>138</v>
      </c>
      <c r="E509" s="1" t="s">
        <v>139</v>
      </c>
      <c r="F509" s="16">
        <v>2</v>
      </c>
      <c r="G509" s="16" t="s">
        <v>30</v>
      </c>
      <c r="H509" s="16" t="s">
        <v>31</v>
      </c>
      <c r="I509" s="16" t="s">
        <v>32</v>
      </c>
      <c r="L509" t="s">
        <v>143</v>
      </c>
    </row>
    <row r="510">
      <c r="B510" s="24">
        <v>45925</v>
      </c>
      <c r="C510" s="16">
        <v>220</v>
      </c>
      <c r="D510" s="1" t="s">
        <v>138</v>
      </c>
      <c r="E510" s="1" t="s">
        <v>139</v>
      </c>
      <c r="F510" s="16">
        <v>2</v>
      </c>
      <c r="G510" s="16" t="s">
        <v>30</v>
      </c>
      <c r="H510" s="16" t="s">
        <v>31</v>
      </c>
      <c r="I510" s="16" t="s">
        <v>32</v>
      </c>
      <c r="L510" t="s">
        <v>144</v>
      </c>
    </row>
    <row r="511">
      <c r="B511" s="24">
        <v>45932</v>
      </c>
      <c r="C511" s="16">
        <v>292</v>
      </c>
      <c r="D511" s="1" t="s">
        <v>138</v>
      </c>
      <c r="E511" s="1" t="s">
        <v>139</v>
      </c>
      <c r="F511" s="16">
        <v>2</v>
      </c>
      <c r="G511" s="16" t="s">
        <v>30</v>
      </c>
      <c r="H511" s="16" t="s">
        <v>31</v>
      </c>
      <c r="I511" s="16" t="s">
        <v>32</v>
      </c>
      <c r="L511" t="s">
        <v>140</v>
      </c>
    </row>
    <row r="512">
      <c r="B512" s="24">
        <v>45932</v>
      </c>
      <c r="C512" s="16">
        <v>297</v>
      </c>
      <c r="D512" s="1" t="s">
        <v>138</v>
      </c>
      <c r="E512" s="1" t="s">
        <v>139</v>
      </c>
      <c r="F512" s="16">
        <v>2</v>
      </c>
      <c r="G512" s="16" t="s">
        <v>30</v>
      </c>
      <c r="H512" s="16" t="s">
        <v>31</v>
      </c>
      <c r="I512" s="16" t="s">
        <v>32</v>
      </c>
      <c r="L512" t="s">
        <v>141</v>
      </c>
    </row>
    <row r="513">
      <c r="B513" s="24">
        <v>45932</v>
      </c>
      <c r="C513" s="16">
        <v>6</v>
      </c>
      <c r="D513" s="1" t="s">
        <v>138</v>
      </c>
      <c r="E513" s="1" t="s">
        <v>139</v>
      </c>
      <c r="F513" s="16">
        <v>2</v>
      </c>
      <c r="G513" s="16" t="s">
        <v>30</v>
      </c>
      <c r="H513" s="16" t="s">
        <v>31</v>
      </c>
      <c r="I513" s="16" t="s">
        <v>32</v>
      </c>
      <c r="L513" t="s">
        <v>142</v>
      </c>
    </row>
    <row r="514">
      <c r="B514" s="24">
        <v>45932</v>
      </c>
      <c r="C514" s="16">
        <v>77</v>
      </c>
      <c r="D514" s="1" t="s">
        <v>138</v>
      </c>
      <c r="E514" s="1" t="s">
        <v>139</v>
      </c>
      <c r="F514" s="16">
        <v>2</v>
      </c>
      <c r="G514" s="16" t="s">
        <v>30</v>
      </c>
      <c r="H514" s="16" t="s">
        <v>31</v>
      </c>
      <c r="I514" s="16" t="s">
        <v>32</v>
      </c>
      <c r="L514" t="s">
        <v>143</v>
      </c>
    </row>
    <row r="515">
      <c r="B515" s="24">
        <v>45932</v>
      </c>
      <c r="C515" s="16">
        <v>182</v>
      </c>
      <c r="D515" s="1" t="s">
        <v>138</v>
      </c>
      <c r="E515" s="1" t="s">
        <v>139</v>
      </c>
      <c r="F515" s="16">
        <v>2</v>
      </c>
      <c r="G515" s="16" t="s">
        <v>30</v>
      </c>
      <c r="H515" s="16" t="s">
        <v>31</v>
      </c>
      <c r="I515" s="16" t="s">
        <v>32</v>
      </c>
      <c r="L515" t="s">
        <v>144</v>
      </c>
    </row>
    <row r="516">
      <c r="B516" s="24">
        <v>45939</v>
      </c>
      <c r="C516" s="16">
        <v>239</v>
      </c>
      <c r="D516" s="1" t="s">
        <v>138</v>
      </c>
      <c r="E516" s="1" t="s">
        <v>139</v>
      </c>
      <c r="F516" s="16">
        <v>2</v>
      </c>
      <c r="G516" s="16" t="s">
        <v>30</v>
      </c>
      <c r="H516" s="16" t="s">
        <v>31</v>
      </c>
      <c r="I516" s="16" t="s">
        <v>32</v>
      </c>
      <c r="L516" t="s">
        <v>140</v>
      </c>
    </row>
    <row r="517">
      <c r="B517" s="24">
        <v>45939</v>
      </c>
      <c r="C517" s="16">
        <v>230</v>
      </c>
      <c r="D517" s="1" t="s">
        <v>138</v>
      </c>
      <c r="E517" s="1" t="s">
        <v>139</v>
      </c>
      <c r="F517" s="16">
        <v>2</v>
      </c>
      <c r="G517" s="16" t="s">
        <v>30</v>
      </c>
      <c r="H517" s="16" t="s">
        <v>31</v>
      </c>
      <c r="I517" s="16" t="s">
        <v>32</v>
      </c>
      <c r="L517" t="s">
        <v>141</v>
      </c>
    </row>
    <row r="518">
      <c r="B518" s="24">
        <v>45939</v>
      </c>
      <c r="C518" s="16">
        <v>4</v>
      </c>
      <c r="D518" s="1" t="s">
        <v>138</v>
      </c>
      <c r="E518" s="1" t="s">
        <v>139</v>
      </c>
      <c r="F518" s="16">
        <v>2</v>
      </c>
      <c r="G518" s="16" t="s">
        <v>30</v>
      </c>
      <c r="H518" s="16" t="s">
        <v>31</v>
      </c>
      <c r="I518" s="16" t="s">
        <v>32</v>
      </c>
      <c r="L518" t="s">
        <v>142</v>
      </c>
    </row>
    <row r="519">
      <c r="B519" s="24">
        <v>45939</v>
      </c>
      <c r="C519" s="16">
        <v>67</v>
      </c>
      <c r="D519" s="1" t="s">
        <v>138</v>
      </c>
      <c r="E519" s="1" t="s">
        <v>139</v>
      </c>
      <c r="F519" s="16">
        <v>2</v>
      </c>
      <c r="G519" s="16" t="s">
        <v>30</v>
      </c>
      <c r="H519" s="16" t="s">
        <v>31</v>
      </c>
      <c r="I519" s="16" t="s">
        <v>32</v>
      </c>
      <c r="L519" t="s">
        <v>143</v>
      </c>
    </row>
    <row r="520">
      <c r="B520" s="24">
        <v>45939</v>
      </c>
      <c r="C520" s="16">
        <v>148</v>
      </c>
      <c r="D520" s="1" t="s">
        <v>138</v>
      </c>
      <c r="E520" s="1" t="s">
        <v>139</v>
      </c>
      <c r="F520" s="16">
        <v>2</v>
      </c>
      <c r="G520" s="16" t="s">
        <v>30</v>
      </c>
      <c r="H520" s="16" t="s">
        <v>31</v>
      </c>
      <c r="I520" s="16" t="s">
        <v>32</v>
      </c>
      <c r="L520" t="s">
        <v>144</v>
      </c>
    </row>
    <row r="521">
      <c r="B521" s="24">
        <v>45946</v>
      </c>
      <c r="C521" s="16">
        <v>238</v>
      </c>
      <c r="D521" s="1" t="s">
        <v>138</v>
      </c>
      <c r="E521" s="1" t="s">
        <v>139</v>
      </c>
      <c r="F521" s="16">
        <v>2</v>
      </c>
      <c r="G521" s="16" t="s">
        <v>30</v>
      </c>
      <c r="H521" s="16" t="s">
        <v>31</v>
      </c>
      <c r="I521" s="16" t="s">
        <v>32</v>
      </c>
      <c r="L521" t="s">
        <v>140</v>
      </c>
    </row>
    <row r="522">
      <c r="B522" s="24">
        <v>45946</v>
      </c>
      <c r="C522" s="16">
        <v>223</v>
      </c>
      <c r="D522" s="1" t="s">
        <v>138</v>
      </c>
      <c r="E522" s="1" t="s">
        <v>139</v>
      </c>
      <c r="F522" s="16">
        <v>2</v>
      </c>
      <c r="G522" s="16" t="s">
        <v>30</v>
      </c>
      <c r="H522" s="16" t="s">
        <v>31</v>
      </c>
      <c r="I522" s="16" t="s">
        <v>32</v>
      </c>
      <c r="L522" t="s">
        <v>141</v>
      </c>
    </row>
    <row r="523">
      <c r="B523" s="24">
        <v>45946</v>
      </c>
      <c r="C523" s="16">
        <v>11</v>
      </c>
      <c r="D523" s="1" t="s">
        <v>138</v>
      </c>
      <c r="E523" s="1" t="s">
        <v>139</v>
      </c>
      <c r="F523" s="16">
        <v>2</v>
      </c>
      <c r="G523" s="16" t="s">
        <v>30</v>
      </c>
      <c r="H523" s="16" t="s">
        <v>31</v>
      </c>
      <c r="I523" s="16" t="s">
        <v>32</v>
      </c>
      <c r="L523" t="s">
        <v>142</v>
      </c>
    </row>
    <row r="524">
      <c r="B524" s="24">
        <v>45946</v>
      </c>
      <c r="C524" s="16">
        <v>53</v>
      </c>
      <c r="D524" s="1" t="s">
        <v>138</v>
      </c>
      <c r="E524" s="1" t="s">
        <v>139</v>
      </c>
      <c r="F524" s="16">
        <v>2</v>
      </c>
      <c r="G524" s="16" t="s">
        <v>30</v>
      </c>
      <c r="H524" s="16" t="s">
        <v>31</v>
      </c>
      <c r="I524" s="16" t="s">
        <v>32</v>
      </c>
      <c r="L524" t="s">
        <v>143</v>
      </c>
    </row>
    <row r="525">
      <c r="B525" s="24">
        <v>45946</v>
      </c>
      <c r="C525" s="16">
        <v>158</v>
      </c>
      <c r="D525" s="1" t="s">
        <v>138</v>
      </c>
      <c r="E525" s="1" t="s">
        <v>139</v>
      </c>
      <c r="F525" s="16">
        <v>2</v>
      </c>
      <c r="G525" s="16" t="s">
        <v>30</v>
      </c>
      <c r="H525" s="16" t="s">
        <v>31</v>
      </c>
      <c r="I525" s="16" t="s">
        <v>32</v>
      </c>
      <c r="L525" t="s">
        <v>144</v>
      </c>
    </row>
    <row r="526">
      <c r="B526" s="24">
        <v>45953</v>
      </c>
      <c r="C526" s="16">
        <v>278</v>
      </c>
      <c r="D526" s="1" t="s">
        <v>138</v>
      </c>
      <c r="E526" s="1" t="s">
        <v>139</v>
      </c>
      <c r="F526" s="16">
        <v>2</v>
      </c>
      <c r="G526" s="16" t="s">
        <v>30</v>
      </c>
      <c r="H526" s="16" t="s">
        <v>31</v>
      </c>
      <c r="I526" s="16" t="s">
        <v>32</v>
      </c>
      <c r="L526" t="s">
        <v>140</v>
      </c>
    </row>
    <row r="527">
      <c r="B527" s="24">
        <v>45953</v>
      </c>
      <c r="C527" s="16">
        <v>279</v>
      </c>
      <c r="D527" s="1" t="s">
        <v>138</v>
      </c>
      <c r="E527" s="1" t="s">
        <v>139</v>
      </c>
      <c r="F527" s="16">
        <v>2</v>
      </c>
      <c r="G527" s="16" t="s">
        <v>30</v>
      </c>
      <c r="H527" s="16" t="s">
        <v>31</v>
      </c>
      <c r="I527" s="16" t="s">
        <v>32</v>
      </c>
      <c r="L527" t="s">
        <v>141</v>
      </c>
    </row>
    <row r="528">
      <c r="B528" s="24">
        <v>45953</v>
      </c>
      <c r="C528" s="16">
        <v>6</v>
      </c>
      <c r="D528" s="1" t="s">
        <v>138</v>
      </c>
      <c r="E528" s="1" t="s">
        <v>139</v>
      </c>
      <c r="F528" s="16">
        <v>2</v>
      </c>
      <c r="G528" s="16" t="s">
        <v>30</v>
      </c>
      <c r="H528" s="16" t="s">
        <v>31</v>
      </c>
      <c r="I528" s="16" t="s">
        <v>32</v>
      </c>
      <c r="L528" t="s">
        <v>142</v>
      </c>
    </row>
    <row r="529">
      <c r="B529" s="24">
        <v>45953</v>
      </c>
      <c r="C529" s="16">
        <v>67</v>
      </c>
      <c r="D529" s="1" t="s">
        <v>138</v>
      </c>
      <c r="E529" s="1" t="s">
        <v>139</v>
      </c>
      <c r="F529" s="16">
        <v>2</v>
      </c>
      <c r="G529" s="16" t="s">
        <v>30</v>
      </c>
      <c r="H529" s="16" t="s">
        <v>31</v>
      </c>
      <c r="I529" s="16" t="s">
        <v>32</v>
      </c>
      <c r="L529" t="s">
        <v>143</v>
      </c>
    </row>
    <row r="530">
      <c r="B530" s="24">
        <v>45953</v>
      </c>
      <c r="C530" s="16">
        <v>176</v>
      </c>
      <c r="D530" s="1" t="s">
        <v>138</v>
      </c>
      <c r="E530" s="1" t="s">
        <v>139</v>
      </c>
      <c r="F530" s="16">
        <v>2</v>
      </c>
      <c r="G530" s="16" t="s">
        <v>30</v>
      </c>
      <c r="H530" s="16" t="s">
        <v>31</v>
      </c>
      <c r="I530" s="16" t="s">
        <v>32</v>
      </c>
      <c r="L530" t="s">
        <v>144</v>
      </c>
    </row>
    <row r="531">
      <c r="B531" s="24">
        <v>45960</v>
      </c>
      <c r="C531" s="16">
        <v>218</v>
      </c>
      <c r="D531" s="1" t="s">
        <v>138</v>
      </c>
      <c r="E531" s="1" t="s">
        <v>139</v>
      </c>
      <c r="F531" s="16">
        <v>2</v>
      </c>
      <c r="G531" s="16" t="s">
        <v>30</v>
      </c>
      <c r="H531" s="16" t="s">
        <v>31</v>
      </c>
      <c r="I531" s="16" t="s">
        <v>32</v>
      </c>
      <c r="L531" t="s">
        <v>140</v>
      </c>
    </row>
    <row r="532">
      <c r="B532" s="24">
        <v>45960</v>
      </c>
      <c r="C532" s="16">
        <v>216</v>
      </c>
      <c r="D532" s="1" t="s">
        <v>138</v>
      </c>
      <c r="E532" s="1" t="s">
        <v>139</v>
      </c>
      <c r="F532" s="16">
        <v>2</v>
      </c>
      <c r="G532" s="16" t="s">
        <v>30</v>
      </c>
      <c r="H532" s="16" t="s">
        <v>31</v>
      </c>
      <c r="I532" s="16" t="s">
        <v>32</v>
      </c>
      <c r="L532" t="s">
        <v>141</v>
      </c>
    </row>
    <row r="533">
      <c r="B533" s="24">
        <v>45960</v>
      </c>
      <c r="C533" s="16">
        <v>4</v>
      </c>
      <c r="D533" s="1" t="s">
        <v>138</v>
      </c>
      <c r="E533" s="1" t="s">
        <v>139</v>
      </c>
      <c r="F533" s="16">
        <v>2</v>
      </c>
      <c r="G533" s="16" t="s">
        <v>30</v>
      </c>
      <c r="H533" s="16" t="s">
        <v>31</v>
      </c>
      <c r="I533" s="16" t="s">
        <v>32</v>
      </c>
      <c r="L533" t="s">
        <v>142</v>
      </c>
    </row>
    <row r="534">
      <c r="B534" s="24">
        <v>45960</v>
      </c>
      <c r="C534" s="16">
        <v>49</v>
      </c>
      <c r="D534" s="1" t="s">
        <v>138</v>
      </c>
      <c r="E534" s="1" t="s">
        <v>139</v>
      </c>
      <c r="F534" s="16">
        <v>2</v>
      </c>
      <c r="G534" s="16" t="s">
        <v>30</v>
      </c>
      <c r="H534" s="16" t="s">
        <v>31</v>
      </c>
      <c r="I534" s="16" t="s">
        <v>32</v>
      </c>
      <c r="L534" t="s">
        <v>143</v>
      </c>
    </row>
    <row r="535">
      <c r="B535" s="24">
        <v>45960</v>
      </c>
      <c r="C535" s="16">
        <v>147</v>
      </c>
      <c r="D535" s="1" t="s">
        <v>138</v>
      </c>
      <c r="E535" s="1" t="s">
        <v>139</v>
      </c>
      <c r="F535" s="16">
        <v>2</v>
      </c>
      <c r="G535" s="16" t="s">
        <v>30</v>
      </c>
      <c r="H535" s="16" t="s">
        <v>31</v>
      </c>
      <c r="I535" s="16" t="s">
        <v>32</v>
      </c>
      <c r="L535" t="s">
        <v>144</v>
      </c>
    </row>
    <row r="536">
      <c r="B536" s="24">
        <v>45967</v>
      </c>
      <c r="C536" s="16">
        <v>206</v>
      </c>
      <c r="D536" s="1" t="s">
        <v>138</v>
      </c>
      <c r="E536" s="1" t="s">
        <v>139</v>
      </c>
      <c r="F536" s="16">
        <v>2</v>
      </c>
      <c r="G536" s="16" t="s">
        <v>30</v>
      </c>
      <c r="H536" s="16" t="s">
        <v>31</v>
      </c>
      <c r="I536" s="16" t="s">
        <v>32</v>
      </c>
      <c r="L536" t="s">
        <v>140</v>
      </c>
    </row>
    <row r="537">
      <c r="B537" s="24">
        <v>45967</v>
      </c>
      <c r="C537" s="16">
        <v>211</v>
      </c>
      <c r="D537" s="1" t="s">
        <v>138</v>
      </c>
      <c r="E537" s="1" t="s">
        <v>139</v>
      </c>
      <c r="F537" s="16">
        <v>2</v>
      </c>
      <c r="G537" s="16" t="s">
        <v>30</v>
      </c>
      <c r="H537" s="16" t="s">
        <v>31</v>
      </c>
      <c r="I537" s="16" t="s">
        <v>32</v>
      </c>
      <c r="L537" t="s">
        <v>141</v>
      </c>
    </row>
    <row r="538">
      <c r="B538" s="24">
        <v>45967</v>
      </c>
      <c r="C538" s="16">
        <v>7</v>
      </c>
      <c r="D538" s="1" t="s">
        <v>138</v>
      </c>
      <c r="E538" s="1" t="s">
        <v>139</v>
      </c>
      <c r="F538" s="16">
        <v>2</v>
      </c>
      <c r="G538" s="16" t="s">
        <v>30</v>
      </c>
      <c r="H538" s="16" t="s">
        <v>31</v>
      </c>
      <c r="I538" s="16" t="s">
        <v>32</v>
      </c>
      <c r="L538" t="s">
        <v>142</v>
      </c>
    </row>
    <row r="539">
      <c r="B539" s="24">
        <v>45967</v>
      </c>
      <c r="C539" s="16">
        <v>36</v>
      </c>
      <c r="D539" s="1" t="s">
        <v>138</v>
      </c>
      <c r="E539" s="1" t="s">
        <v>139</v>
      </c>
      <c r="F539" s="16">
        <v>2</v>
      </c>
      <c r="G539" s="16" t="s">
        <v>30</v>
      </c>
      <c r="H539" s="16" t="s">
        <v>31</v>
      </c>
      <c r="I539" s="16" t="s">
        <v>32</v>
      </c>
      <c r="L539" t="s">
        <v>143</v>
      </c>
    </row>
    <row r="540">
      <c r="B540" s="24">
        <v>45967</v>
      </c>
      <c r="C540" s="16">
        <v>144</v>
      </c>
      <c r="D540" s="1" t="s">
        <v>138</v>
      </c>
      <c r="E540" s="1" t="s">
        <v>139</v>
      </c>
      <c r="F540" s="16">
        <v>2</v>
      </c>
      <c r="G540" s="16" t="s">
        <v>30</v>
      </c>
      <c r="H540" s="16" t="s">
        <v>31</v>
      </c>
      <c r="I540" s="16" t="s">
        <v>32</v>
      </c>
      <c r="L540" t="s">
        <v>144</v>
      </c>
    </row>
    <row r="541">
      <c r="B541" s="24">
        <v>45974</v>
      </c>
      <c r="C541" s="16">
        <v>292</v>
      </c>
      <c r="D541" s="1" t="s">
        <v>138</v>
      </c>
      <c r="E541" s="1" t="s">
        <v>139</v>
      </c>
      <c r="F541" s="16">
        <v>2</v>
      </c>
      <c r="G541" s="16" t="s">
        <v>30</v>
      </c>
      <c r="H541" s="16" t="s">
        <v>31</v>
      </c>
      <c r="I541" s="16" t="s">
        <v>32</v>
      </c>
      <c r="L541" t="s">
        <v>140</v>
      </c>
    </row>
    <row r="542">
      <c r="B542" s="24">
        <v>45974</v>
      </c>
      <c r="C542" s="16">
        <v>226</v>
      </c>
      <c r="D542" s="1" t="s">
        <v>138</v>
      </c>
      <c r="E542" s="1" t="s">
        <v>139</v>
      </c>
      <c r="F542" s="16">
        <v>2</v>
      </c>
      <c r="G542" s="16" t="s">
        <v>30</v>
      </c>
      <c r="H542" s="16" t="s">
        <v>31</v>
      </c>
      <c r="I542" s="16" t="s">
        <v>32</v>
      </c>
      <c r="L542" t="s">
        <v>141</v>
      </c>
    </row>
    <row r="543">
      <c r="B543" s="24">
        <v>45974</v>
      </c>
      <c r="C543" s="16">
        <v>7</v>
      </c>
      <c r="D543" s="1" t="s">
        <v>138</v>
      </c>
      <c r="E543" s="1" t="s">
        <v>139</v>
      </c>
      <c r="F543" s="16">
        <v>2</v>
      </c>
      <c r="G543" s="16" t="s">
        <v>30</v>
      </c>
      <c r="H543" s="16" t="s">
        <v>31</v>
      </c>
      <c r="I543" s="16" t="s">
        <v>32</v>
      </c>
      <c r="L543" t="s">
        <v>142</v>
      </c>
    </row>
    <row r="544">
      <c r="B544" s="24">
        <v>45974</v>
      </c>
      <c r="C544" s="16">
        <v>46</v>
      </c>
      <c r="D544" s="1" t="s">
        <v>138</v>
      </c>
      <c r="E544" s="1" t="s">
        <v>139</v>
      </c>
      <c r="F544" s="16">
        <v>2</v>
      </c>
      <c r="G544" s="16" t="s">
        <v>30</v>
      </c>
      <c r="H544" s="16" t="s">
        <v>31</v>
      </c>
      <c r="I544" s="16" t="s">
        <v>32</v>
      </c>
      <c r="L544" t="s">
        <v>143</v>
      </c>
    </row>
    <row r="545">
      <c r="B545" s="24">
        <v>45974</v>
      </c>
      <c r="C545" s="16">
        <v>243</v>
      </c>
      <c r="D545" s="1" t="s">
        <v>138</v>
      </c>
      <c r="E545" s="1" t="s">
        <v>139</v>
      </c>
      <c r="F545" s="16">
        <v>2</v>
      </c>
      <c r="G545" s="16" t="s">
        <v>30</v>
      </c>
      <c r="H545" s="16" t="s">
        <v>31</v>
      </c>
      <c r="I545" s="16" t="s">
        <v>32</v>
      </c>
      <c r="L545" t="s">
        <v>144</v>
      </c>
    </row>
    <row r="546">
      <c r="B546" s="24">
        <v>45981</v>
      </c>
      <c r="C546" s="16">
        <v>2</v>
      </c>
      <c r="D546" s="1" t="s">
        <v>138</v>
      </c>
      <c r="E546" s="1" t="s">
        <v>139</v>
      </c>
      <c r="F546" s="16">
        <v>2</v>
      </c>
      <c r="G546" s="16" t="s">
        <v>30</v>
      </c>
      <c r="H546" s="16" t="s">
        <v>31</v>
      </c>
      <c r="I546" s="16" t="s">
        <v>32</v>
      </c>
      <c r="L546" t="s">
        <v>145</v>
      </c>
    </row>
    <row r="547">
      <c r="B547" s="24">
        <v>45981</v>
      </c>
      <c r="C547" s="16">
        <v>325</v>
      </c>
      <c r="D547" s="1" t="s">
        <v>138</v>
      </c>
      <c r="E547" s="1" t="s">
        <v>139</v>
      </c>
      <c r="F547" s="16">
        <v>2</v>
      </c>
      <c r="G547" s="16" t="s">
        <v>30</v>
      </c>
      <c r="H547" s="16" t="s">
        <v>31</v>
      </c>
      <c r="I547" s="16" t="s">
        <v>32</v>
      </c>
      <c r="L547" t="s">
        <v>140</v>
      </c>
    </row>
    <row r="548">
      <c r="B548" s="24">
        <v>45981</v>
      </c>
      <c r="C548" s="16">
        <v>274</v>
      </c>
      <c r="D548" s="1" t="s">
        <v>138</v>
      </c>
      <c r="E548" s="1" t="s">
        <v>139</v>
      </c>
      <c r="F548" s="16">
        <v>2</v>
      </c>
      <c r="G548" s="16" t="s">
        <v>30</v>
      </c>
      <c r="H548" s="16" t="s">
        <v>31</v>
      </c>
      <c r="I548" s="16" t="s">
        <v>32</v>
      </c>
      <c r="L548" t="s">
        <v>141</v>
      </c>
    </row>
    <row r="549">
      <c r="B549" s="24">
        <v>45981</v>
      </c>
      <c r="C549" s="16">
        <v>13</v>
      </c>
      <c r="D549" s="1" t="s">
        <v>138</v>
      </c>
      <c r="E549" s="1" t="s">
        <v>139</v>
      </c>
      <c r="F549" s="16">
        <v>2</v>
      </c>
      <c r="G549" s="16" t="s">
        <v>30</v>
      </c>
      <c r="H549" s="16" t="s">
        <v>31</v>
      </c>
      <c r="I549" s="16" t="s">
        <v>32</v>
      </c>
      <c r="L549" t="s">
        <v>142</v>
      </c>
    </row>
    <row r="550">
      <c r="B550" s="24">
        <v>45981</v>
      </c>
      <c r="C550" s="16">
        <v>82</v>
      </c>
      <c r="D550" s="1" t="s">
        <v>138</v>
      </c>
      <c r="E550" s="1" t="s">
        <v>139</v>
      </c>
      <c r="F550" s="16">
        <v>2</v>
      </c>
      <c r="G550" s="16" t="s">
        <v>30</v>
      </c>
      <c r="H550" s="16" t="s">
        <v>31</v>
      </c>
      <c r="I550" s="16" t="s">
        <v>32</v>
      </c>
      <c r="L550" t="s">
        <v>143</v>
      </c>
    </row>
    <row r="551">
      <c r="B551" s="24">
        <v>45981</v>
      </c>
      <c r="C551" s="16">
        <v>209</v>
      </c>
      <c r="D551" s="1" t="s">
        <v>138</v>
      </c>
      <c r="E551" s="1" t="s">
        <v>139</v>
      </c>
      <c r="F551" s="16">
        <v>2</v>
      </c>
      <c r="G551" s="16" t="s">
        <v>30</v>
      </c>
      <c r="H551" s="16" t="s">
        <v>31</v>
      </c>
      <c r="I551" s="16" t="s">
        <v>32</v>
      </c>
      <c r="L551" t="s">
        <v>144</v>
      </c>
    </row>
    <row r="552">
      <c r="B552" s="24">
        <v>45988</v>
      </c>
      <c r="C552" s="16">
        <v>294</v>
      </c>
      <c r="D552" s="1" t="s">
        <v>138</v>
      </c>
      <c r="E552" s="1" t="s">
        <v>139</v>
      </c>
      <c r="F552" s="16">
        <v>2</v>
      </c>
      <c r="G552" s="16" t="s">
        <v>30</v>
      </c>
      <c r="H552" s="16" t="s">
        <v>31</v>
      </c>
      <c r="I552" s="16" t="s">
        <v>32</v>
      </c>
      <c r="L552" t="s">
        <v>140</v>
      </c>
    </row>
    <row r="553">
      <c r="B553" s="24">
        <v>45988</v>
      </c>
      <c r="C553" s="16">
        <v>253</v>
      </c>
      <c r="D553" s="1" t="s">
        <v>138</v>
      </c>
      <c r="E553" s="1" t="s">
        <v>139</v>
      </c>
      <c r="F553" s="16">
        <v>2</v>
      </c>
      <c r="G553" s="16" t="s">
        <v>30</v>
      </c>
      <c r="H553" s="16" t="s">
        <v>31</v>
      </c>
      <c r="I553" s="16" t="s">
        <v>32</v>
      </c>
      <c r="L553" t="s">
        <v>141</v>
      </c>
    </row>
    <row r="554">
      <c r="B554" s="24">
        <v>45988</v>
      </c>
      <c r="C554" s="16">
        <v>7</v>
      </c>
      <c r="D554" s="1" t="s">
        <v>138</v>
      </c>
      <c r="E554" s="1" t="s">
        <v>139</v>
      </c>
      <c r="F554" s="16">
        <v>2</v>
      </c>
      <c r="G554" s="16" t="s">
        <v>30</v>
      </c>
      <c r="H554" s="16" t="s">
        <v>31</v>
      </c>
      <c r="I554" s="16" t="s">
        <v>32</v>
      </c>
      <c r="L554" t="s">
        <v>142</v>
      </c>
    </row>
    <row r="555">
      <c r="B555" s="24">
        <v>45988</v>
      </c>
      <c r="C555" s="16">
        <v>55</v>
      </c>
      <c r="D555" s="1" t="s">
        <v>138</v>
      </c>
      <c r="E555" s="1" t="s">
        <v>139</v>
      </c>
      <c r="F555" s="16">
        <v>2</v>
      </c>
      <c r="G555" s="16" t="s">
        <v>30</v>
      </c>
      <c r="H555" s="16" t="s">
        <v>31</v>
      </c>
      <c r="I555" s="16" t="s">
        <v>32</v>
      </c>
      <c r="L555" t="s">
        <v>143</v>
      </c>
    </row>
    <row r="556">
      <c r="B556" s="24">
        <v>45988</v>
      </c>
      <c r="C556" s="16">
        <v>196</v>
      </c>
      <c r="D556" s="1" t="s">
        <v>138</v>
      </c>
      <c r="E556" s="1" t="s">
        <v>139</v>
      </c>
      <c r="F556" s="16">
        <v>2</v>
      </c>
      <c r="G556" s="16" t="s">
        <v>30</v>
      </c>
      <c r="H556" s="16" t="s">
        <v>31</v>
      </c>
      <c r="I556" s="16" t="s">
        <v>32</v>
      </c>
      <c r="L556" t="s">
        <v>144</v>
      </c>
    </row>
    <row r="557">
      <c r="B557" s="24">
        <v>45995</v>
      </c>
      <c r="C557" s="16">
        <v>364</v>
      </c>
      <c r="D557" s="1" t="s">
        <v>138</v>
      </c>
      <c r="E557" s="1" t="s">
        <v>139</v>
      </c>
      <c r="F557" s="16">
        <v>2</v>
      </c>
      <c r="G557" s="16" t="s">
        <v>30</v>
      </c>
      <c r="H557" s="16" t="s">
        <v>31</v>
      </c>
      <c r="I557" s="16" t="s">
        <v>32</v>
      </c>
      <c r="L557" t="s">
        <v>140</v>
      </c>
    </row>
    <row r="558">
      <c r="B558" s="24">
        <v>45995</v>
      </c>
      <c r="C558" s="16">
        <v>289</v>
      </c>
      <c r="D558" s="1" t="s">
        <v>138</v>
      </c>
      <c r="E558" s="1" t="s">
        <v>139</v>
      </c>
      <c r="F558" s="16">
        <v>2</v>
      </c>
      <c r="G558" s="16" t="s">
        <v>30</v>
      </c>
      <c r="H558" s="16" t="s">
        <v>31</v>
      </c>
      <c r="I558" s="16" t="s">
        <v>32</v>
      </c>
      <c r="L558" t="s">
        <v>141</v>
      </c>
    </row>
    <row r="559">
      <c r="B559" s="24">
        <v>45995</v>
      </c>
      <c r="C559" s="16">
        <v>16</v>
      </c>
      <c r="D559" s="1" t="s">
        <v>138</v>
      </c>
      <c r="E559" s="1" t="s">
        <v>139</v>
      </c>
      <c r="F559" s="16">
        <v>2</v>
      </c>
      <c r="G559" s="16" t="s">
        <v>30</v>
      </c>
      <c r="H559" s="16" t="s">
        <v>31</v>
      </c>
      <c r="I559" s="16" t="s">
        <v>32</v>
      </c>
      <c r="L559" t="s">
        <v>142</v>
      </c>
    </row>
    <row r="560">
      <c r="B560" s="24">
        <v>45995</v>
      </c>
      <c r="C560" s="16">
        <v>93</v>
      </c>
      <c r="D560" s="1" t="s">
        <v>138</v>
      </c>
      <c r="E560" s="1" t="s">
        <v>139</v>
      </c>
      <c r="F560" s="16">
        <v>2</v>
      </c>
      <c r="G560" s="16" t="s">
        <v>30</v>
      </c>
      <c r="H560" s="16" t="s">
        <v>31</v>
      </c>
      <c r="I560" s="16" t="s">
        <v>32</v>
      </c>
      <c r="L560" t="s">
        <v>143</v>
      </c>
    </row>
    <row r="561">
      <c r="B561" s="24">
        <v>45995</v>
      </c>
      <c r="C561" s="16">
        <v>225</v>
      </c>
      <c r="D561" s="1" t="s">
        <v>138</v>
      </c>
      <c r="E561" s="1" t="s">
        <v>139</v>
      </c>
      <c r="F561" s="16">
        <v>2</v>
      </c>
      <c r="G561" s="16" t="s">
        <v>30</v>
      </c>
      <c r="H561" s="16" t="s">
        <v>31</v>
      </c>
      <c r="I561" s="16" t="s">
        <v>32</v>
      </c>
      <c r="L561" t="s">
        <v>144</v>
      </c>
    </row>
    <row r="562">
      <c r="B562" s="24">
        <v>46002</v>
      </c>
      <c r="C562" s="16">
        <v>259</v>
      </c>
      <c r="D562" s="1" t="s">
        <v>138</v>
      </c>
      <c r="E562" s="1" t="s">
        <v>139</v>
      </c>
      <c r="F562" s="16">
        <v>2</v>
      </c>
      <c r="G562" s="16" t="s">
        <v>30</v>
      </c>
      <c r="H562" s="16" t="s">
        <v>31</v>
      </c>
      <c r="I562" s="16" t="s">
        <v>32</v>
      </c>
      <c r="L562" t="s">
        <v>140</v>
      </c>
    </row>
    <row r="563">
      <c r="B563" s="24">
        <v>46002</v>
      </c>
      <c r="C563" s="16">
        <v>229</v>
      </c>
      <c r="D563" s="1" t="s">
        <v>138</v>
      </c>
      <c r="E563" s="1" t="s">
        <v>139</v>
      </c>
      <c r="F563" s="16">
        <v>2</v>
      </c>
      <c r="G563" s="16" t="s">
        <v>30</v>
      </c>
      <c r="H563" s="16" t="s">
        <v>31</v>
      </c>
      <c r="I563" s="16" t="s">
        <v>32</v>
      </c>
      <c r="L563" t="s">
        <v>141</v>
      </c>
    </row>
    <row r="564">
      <c r="B564" s="24">
        <v>46002</v>
      </c>
      <c r="C564" s="16">
        <v>7</v>
      </c>
      <c r="D564" s="1" t="s">
        <v>138</v>
      </c>
      <c r="E564" s="1" t="s">
        <v>139</v>
      </c>
      <c r="F564" s="16">
        <v>2</v>
      </c>
      <c r="G564" s="16" t="s">
        <v>30</v>
      </c>
      <c r="H564" s="16" t="s">
        <v>31</v>
      </c>
      <c r="I564" s="16" t="s">
        <v>32</v>
      </c>
      <c r="L564" t="s">
        <v>142</v>
      </c>
    </row>
    <row r="565">
      <c r="B565" s="24">
        <v>46002</v>
      </c>
      <c r="C565" s="16">
        <v>53</v>
      </c>
      <c r="D565" s="1" t="s">
        <v>138</v>
      </c>
      <c r="E565" s="1" t="s">
        <v>139</v>
      </c>
      <c r="F565" s="16">
        <v>2</v>
      </c>
      <c r="G565" s="16" t="s">
        <v>30</v>
      </c>
      <c r="H565" s="16" t="s">
        <v>31</v>
      </c>
      <c r="I565" s="16" t="s">
        <v>32</v>
      </c>
      <c r="L565" t="s">
        <v>143</v>
      </c>
    </row>
    <row r="566">
      <c r="B566" s="24">
        <v>46002</v>
      </c>
      <c r="C566" s="16">
        <v>154</v>
      </c>
      <c r="D566" s="1" t="s">
        <v>138</v>
      </c>
      <c r="E566" s="1" t="s">
        <v>139</v>
      </c>
      <c r="F566" s="16">
        <v>2</v>
      </c>
      <c r="G566" s="16" t="s">
        <v>30</v>
      </c>
      <c r="H566" s="16" t="s">
        <v>31</v>
      </c>
      <c r="I566" s="16" t="s">
        <v>32</v>
      </c>
      <c r="L566" t="s">
        <v>144</v>
      </c>
    </row>
    <row r="567">
      <c r="B567" s="24">
        <v>46009</v>
      </c>
      <c r="C567" s="16">
        <v>350</v>
      </c>
      <c r="D567" s="1" t="s">
        <v>138</v>
      </c>
      <c r="E567" s="1" t="s">
        <v>139</v>
      </c>
      <c r="F567" s="16">
        <v>2</v>
      </c>
      <c r="G567" s="16" t="s">
        <v>30</v>
      </c>
      <c r="H567" s="16" t="s">
        <v>31</v>
      </c>
      <c r="I567" s="16" t="s">
        <v>32</v>
      </c>
      <c r="L567" t="s">
        <v>140</v>
      </c>
    </row>
    <row r="568">
      <c r="B568" s="24">
        <v>46009</v>
      </c>
      <c r="C568" s="16">
        <v>365</v>
      </c>
      <c r="D568" s="1" t="s">
        <v>138</v>
      </c>
      <c r="E568" s="1" t="s">
        <v>139</v>
      </c>
      <c r="F568" s="16">
        <v>2</v>
      </c>
      <c r="G568" s="16" t="s">
        <v>30</v>
      </c>
      <c r="H568" s="16" t="s">
        <v>31</v>
      </c>
      <c r="I568" s="16" t="s">
        <v>32</v>
      </c>
      <c r="L568" t="s">
        <v>141</v>
      </c>
    </row>
    <row r="569">
      <c r="B569" s="24">
        <v>46009</v>
      </c>
      <c r="C569" s="16">
        <v>6</v>
      </c>
      <c r="D569" s="1" t="s">
        <v>138</v>
      </c>
      <c r="E569" s="1" t="s">
        <v>139</v>
      </c>
      <c r="F569" s="16">
        <v>2</v>
      </c>
      <c r="G569" s="16" t="s">
        <v>30</v>
      </c>
      <c r="H569" s="16" t="s">
        <v>31</v>
      </c>
      <c r="I569" s="16" t="s">
        <v>32</v>
      </c>
      <c r="L569" t="s">
        <v>142</v>
      </c>
    </row>
    <row r="570">
      <c r="B570" s="24">
        <v>46009</v>
      </c>
      <c r="C570" s="16">
        <v>100</v>
      </c>
      <c r="D570" s="1" t="s">
        <v>138</v>
      </c>
      <c r="E570" s="1" t="s">
        <v>139</v>
      </c>
      <c r="F570" s="16">
        <v>2</v>
      </c>
      <c r="G570" s="16" t="s">
        <v>30</v>
      </c>
      <c r="H570" s="16" t="s">
        <v>31</v>
      </c>
      <c r="I570" s="16" t="s">
        <v>32</v>
      </c>
      <c r="L570" t="s">
        <v>143</v>
      </c>
    </row>
    <row r="571">
      <c r="B571" s="24">
        <v>46009</v>
      </c>
      <c r="C571" s="16">
        <v>216</v>
      </c>
      <c r="D571" s="1" t="s">
        <v>138</v>
      </c>
      <c r="E571" s="1" t="s">
        <v>139</v>
      </c>
      <c r="F571" s="16">
        <v>2</v>
      </c>
      <c r="G571" s="16" t="s">
        <v>30</v>
      </c>
      <c r="H571" s="16" t="s">
        <v>31</v>
      </c>
      <c r="I571" s="16" t="s">
        <v>32</v>
      </c>
      <c r="L571" t="s">
        <v>144</v>
      </c>
    </row>
    <row r="572">
      <c r="B572" s="24">
        <v>46016</v>
      </c>
      <c r="C572" s="16">
        <v>2</v>
      </c>
      <c r="D572" s="1" t="s">
        <v>138</v>
      </c>
      <c r="E572" s="1" t="s">
        <v>139</v>
      </c>
      <c r="F572" s="16">
        <v>2</v>
      </c>
      <c r="G572" s="16" t="s">
        <v>30</v>
      </c>
      <c r="H572" s="16" t="s">
        <v>31</v>
      </c>
      <c r="I572" s="16" t="s">
        <v>32</v>
      </c>
      <c r="L572" t="s">
        <v>145</v>
      </c>
    </row>
    <row r="573">
      <c r="B573" s="24">
        <v>46016</v>
      </c>
      <c r="C573" s="16">
        <v>557</v>
      </c>
      <c r="D573" s="1" t="s">
        <v>138</v>
      </c>
      <c r="E573" s="1" t="s">
        <v>139</v>
      </c>
      <c r="F573" s="16">
        <v>2</v>
      </c>
      <c r="G573" s="16" t="s">
        <v>30</v>
      </c>
      <c r="H573" s="16" t="s">
        <v>31</v>
      </c>
      <c r="I573" s="16" t="s">
        <v>32</v>
      </c>
      <c r="L573" t="s">
        <v>140</v>
      </c>
    </row>
    <row r="574">
      <c r="B574" s="24">
        <v>46016</v>
      </c>
      <c r="C574" s="16">
        <v>532</v>
      </c>
      <c r="D574" s="1" t="s">
        <v>138</v>
      </c>
      <c r="E574" s="1" t="s">
        <v>139</v>
      </c>
      <c r="F574" s="16">
        <v>2</v>
      </c>
      <c r="G574" s="16" t="s">
        <v>30</v>
      </c>
      <c r="H574" s="16" t="s">
        <v>31</v>
      </c>
      <c r="I574" s="16" t="s">
        <v>32</v>
      </c>
      <c r="L574" t="s">
        <v>141</v>
      </c>
    </row>
    <row r="575">
      <c r="B575" s="24">
        <v>46016</v>
      </c>
      <c r="C575" s="16">
        <v>11</v>
      </c>
      <c r="D575" s="1" t="s">
        <v>138</v>
      </c>
      <c r="E575" s="1" t="s">
        <v>139</v>
      </c>
      <c r="F575" s="16">
        <v>2</v>
      </c>
      <c r="G575" s="16" t="s">
        <v>30</v>
      </c>
      <c r="H575" s="16" t="s">
        <v>31</v>
      </c>
      <c r="I575" s="16" t="s">
        <v>32</v>
      </c>
      <c r="L575" t="s">
        <v>142</v>
      </c>
    </row>
    <row r="576">
      <c r="B576" s="24">
        <v>46016</v>
      </c>
      <c r="C576" s="16">
        <v>103</v>
      </c>
      <c r="D576" s="1" t="s">
        <v>138</v>
      </c>
      <c r="E576" s="1" t="s">
        <v>139</v>
      </c>
      <c r="F576" s="16">
        <v>2</v>
      </c>
      <c r="G576" s="16" t="s">
        <v>30</v>
      </c>
      <c r="H576" s="16" t="s">
        <v>31</v>
      </c>
      <c r="I576" s="16" t="s">
        <v>32</v>
      </c>
      <c r="L576" t="s">
        <v>143</v>
      </c>
    </row>
    <row r="577">
      <c r="B577" s="24">
        <v>46016</v>
      </c>
      <c r="C577" s="16">
        <v>341</v>
      </c>
      <c r="D577" s="1" t="s">
        <v>138</v>
      </c>
      <c r="E577" s="1" t="s">
        <v>139</v>
      </c>
      <c r="F577" s="16">
        <v>2</v>
      </c>
      <c r="G577" s="16" t="s">
        <v>30</v>
      </c>
      <c r="H577" s="16" t="s">
        <v>31</v>
      </c>
      <c r="I577" s="16" t="s">
        <v>32</v>
      </c>
      <c r="L577" t="s">
        <v>144</v>
      </c>
    </row>
    <row r="578">
      <c r="B578" s="24">
        <v>46037</v>
      </c>
      <c r="C578" s="16">
        <v>119</v>
      </c>
      <c r="D578" s="1" t="s">
        <v>138</v>
      </c>
      <c r="E578" s="1" t="s">
        <v>139</v>
      </c>
      <c r="F578" s="16">
        <v>2</v>
      </c>
      <c r="G578" s="16" t="s">
        <v>30</v>
      </c>
      <c r="H578" s="16" t="s">
        <v>31</v>
      </c>
      <c r="I578" s="16" t="s">
        <v>32</v>
      </c>
      <c r="L578" t="s">
        <v>140</v>
      </c>
    </row>
    <row r="579">
      <c r="B579" s="24">
        <v>46037</v>
      </c>
      <c r="C579" s="16">
        <v>72</v>
      </c>
      <c r="D579" s="1" t="s">
        <v>138</v>
      </c>
      <c r="E579" s="1" t="s">
        <v>139</v>
      </c>
      <c r="F579" s="16">
        <v>2</v>
      </c>
      <c r="G579" s="16" t="s">
        <v>30</v>
      </c>
      <c r="H579" s="16" t="s">
        <v>31</v>
      </c>
      <c r="I579" s="16" t="s">
        <v>32</v>
      </c>
      <c r="L579" t="s">
        <v>141</v>
      </c>
    </row>
    <row r="580">
      <c r="B580" s="24">
        <v>46037</v>
      </c>
      <c r="C580" s="16">
        <v>1</v>
      </c>
      <c r="D580" s="1" t="s">
        <v>138</v>
      </c>
      <c r="E580" s="1" t="s">
        <v>139</v>
      </c>
      <c r="F580" s="16">
        <v>2</v>
      </c>
      <c r="G580" s="16" t="s">
        <v>30</v>
      </c>
      <c r="H580" s="16" t="s">
        <v>31</v>
      </c>
      <c r="I580" s="16" t="s">
        <v>32</v>
      </c>
      <c r="L580" t="s">
        <v>142</v>
      </c>
    </row>
    <row r="581">
      <c r="B581" s="24">
        <v>46037</v>
      </c>
      <c r="C581" s="16">
        <v>5</v>
      </c>
      <c r="D581" s="1" t="s">
        <v>138</v>
      </c>
      <c r="E581" s="1" t="s">
        <v>139</v>
      </c>
      <c r="F581" s="16">
        <v>2</v>
      </c>
      <c r="G581" s="16" t="s">
        <v>30</v>
      </c>
      <c r="H581" s="16" t="s">
        <v>31</v>
      </c>
      <c r="I581" s="16" t="s">
        <v>32</v>
      </c>
      <c r="L581" t="s">
        <v>143</v>
      </c>
    </row>
    <row r="582">
      <c r="B582" s="24">
        <v>46037</v>
      </c>
      <c r="C582" s="16">
        <v>56</v>
      </c>
      <c r="D582" s="1" t="s">
        <v>138</v>
      </c>
      <c r="E582" s="1" t="s">
        <v>139</v>
      </c>
      <c r="F582" s="16">
        <v>2</v>
      </c>
      <c r="G582" s="16" t="s">
        <v>30</v>
      </c>
      <c r="H582" s="16" t="s">
        <v>31</v>
      </c>
      <c r="I582" s="16" t="s">
        <v>32</v>
      </c>
      <c r="L582" t="s">
        <v>144</v>
      </c>
    </row>
    <row r="583">
      <c r="B583" s="24">
        <v>46044</v>
      </c>
      <c r="C583" s="16">
        <v>655</v>
      </c>
      <c r="D583" s="1" t="s">
        <v>138</v>
      </c>
      <c r="E583" s="1" t="s">
        <v>139</v>
      </c>
      <c r="F583" s="16">
        <v>2</v>
      </c>
      <c r="G583" s="16" t="s">
        <v>30</v>
      </c>
      <c r="H583" s="16" t="s">
        <v>31</v>
      </c>
      <c r="I583" s="16" t="s">
        <v>32</v>
      </c>
      <c r="L583" t="s">
        <v>140</v>
      </c>
    </row>
    <row r="584">
      <c r="B584" s="24">
        <v>46044</v>
      </c>
      <c r="C584" s="16">
        <v>431</v>
      </c>
      <c r="D584" s="1" t="s">
        <v>138</v>
      </c>
      <c r="E584" s="1" t="s">
        <v>139</v>
      </c>
      <c r="F584" s="16">
        <v>2</v>
      </c>
      <c r="G584" s="16" t="s">
        <v>30</v>
      </c>
      <c r="H584" s="16" t="s">
        <v>31</v>
      </c>
      <c r="I584" s="16" t="s">
        <v>32</v>
      </c>
      <c r="L584" t="s">
        <v>141</v>
      </c>
    </row>
    <row r="585">
      <c r="B585" s="24">
        <v>46044</v>
      </c>
      <c r="C585" s="16">
        <v>10</v>
      </c>
      <c r="D585" s="1" t="s">
        <v>138</v>
      </c>
      <c r="E585" s="1" t="s">
        <v>139</v>
      </c>
      <c r="F585" s="16">
        <v>2</v>
      </c>
      <c r="G585" s="16" t="s">
        <v>30</v>
      </c>
      <c r="H585" s="16" t="s">
        <v>31</v>
      </c>
      <c r="I585" s="16" t="s">
        <v>32</v>
      </c>
      <c r="L585" t="s">
        <v>142</v>
      </c>
    </row>
    <row r="586">
      <c r="B586" s="24">
        <v>46044</v>
      </c>
      <c r="C586" s="16">
        <v>108</v>
      </c>
      <c r="D586" s="1" t="s">
        <v>138</v>
      </c>
      <c r="E586" s="1" t="s">
        <v>139</v>
      </c>
      <c r="F586" s="16">
        <v>2</v>
      </c>
      <c r="G586" s="16" t="s">
        <v>30</v>
      </c>
      <c r="H586" s="16" t="s">
        <v>31</v>
      </c>
      <c r="I586" s="16" t="s">
        <v>32</v>
      </c>
      <c r="L586" t="s">
        <v>143</v>
      </c>
    </row>
    <row r="587">
      <c r="B587" s="24">
        <v>46044</v>
      </c>
      <c r="C587" s="16">
        <v>404</v>
      </c>
      <c r="D587" s="1" t="s">
        <v>138</v>
      </c>
      <c r="E587" s="1" t="s">
        <v>139</v>
      </c>
      <c r="F587" s="16">
        <v>2</v>
      </c>
      <c r="G587" s="16" t="s">
        <v>30</v>
      </c>
      <c r="H587" s="16" t="s">
        <v>31</v>
      </c>
      <c r="I587" s="16" t="s">
        <v>32</v>
      </c>
      <c r="L587" t="s">
        <v>144</v>
      </c>
    </row>
    <row r="588">
      <c r="B588" s="24">
        <v>46051</v>
      </c>
      <c r="C588" s="16">
        <v>1</v>
      </c>
      <c r="D588" s="1" t="s">
        <v>138</v>
      </c>
      <c r="E588" s="1" t="s">
        <v>139</v>
      </c>
      <c r="F588" s="16">
        <v>2</v>
      </c>
      <c r="G588" s="16" t="s">
        <v>30</v>
      </c>
      <c r="H588" s="16" t="s">
        <v>31</v>
      </c>
      <c r="I588" s="16" t="s">
        <v>32</v>
      </c>
      <c r="L588" t="s">
        <v>145</v>
      </c>
    </row>
    <row r="589">
      <c r="B589" s="24">
        <v>46051</v>
      </c>
      <c r="C589" s="16">
        <v>544</v>
      </c>
      <c r="D589" s="1" t="s">
        <v>138</v>
      </c>
      <c r="E589" s="1" t="s">
        <v>139</v>
      </c>
      <c r="F589" s="16">
        <v>2</v>
      </c>
      <c r="G589" s="16" t="s">
        <v>30</v>
      </c>
      <c r="H589" s="16" t="s">
        <v>31</v>
      </c>
      <c r="I589" s="16" t="s">
        <v>32</v>
      </c>
      <c r="L589" t="s">
        <v>140</v>
      </c>
    </row>
    <row r="590">
      <c r="B590" s="24">
        <v>46051</v>
      </c>
      <c r="C590" s="16">
        <v>424</v>
      </c>
      <c r="D590" s="1" t="s">
        <v>138</v>
      </c>
      <c r="E590" s="1" t="s">
        <v>139</v>
      </c>
      <c r="F590" s="16">
        <v>2</v>
      </c>
      <c r="G590" s="16" t="s">
        <v>30</v>
      </c>
      <c r="H590" s="16" t="s">
        <v>31</v>
      </c>
      <c r="I590" s="16" t="s">
        <v>32</v>
      </c>
      <c r="L590" t="s">
        <v>141</v>
      </c>
    </row>
    <row r="591">
      <c r="B591" s="24">
        <v>46051</v>
      </c>
      <c r="C591" s="16">
        <v>13</v>
      </c>
      <c r="D591" s="1" t="s">
        <v>138</v>
      </c>
      <c r="E591" s="1" t="s">
        <v>139</v>
      </c>
      <c r="F591" s="16">
        <v>2</v>
      </c>
      <c r="G591" s="16" t="s">
        <v>30</v>
      </c>
      <c r="H591" s="16" t="s">
        <v>31</v>
      </c>
      <c r="I591" s="16" t="s">
        <v>32</v>
      </c>
      <c r="L591" t="s">
        <v>142</v>
      </c>
    </row>
    <row r="592">
      <c r="B592" s="24">
        <v>46051</v>
      </c>
      <c r="C592" s="16">
        <v>88</v>
      </c>
      <c r="D592" s="1" t="s">
        <v>138</v>
      </c>
      <c r="E592" s="1" t="s">
        <v>139</v>
      </c>
      <c r="F592" s="16">
        <v>2</v>
      </c>
      <c r="G592" s="16" t="s">
        <v>30</v>
      </c>
      <c r="H592" s="16" t="s">
        <v>31</v>
      </c>
      <c r="I592" s="16" t="s">
        <v>32</v>
      </c>
      <c r="L592" t="s">
        <v>143</v>
      </c>
    </row>
    <row r="593">
      <c r="B593" s="24">
        <v>46051</v>
      </c>
      <c r="C593" s="16">
        <v>294</v>
      </c>
      <c r="D593" s="1" t="s">
        <v>138</v>
      </c>
      <c r="E593" s="1" t="s">
        <v>139</v>
      </c>
      <c r="F593" s="16">
        <v>2</v>
      </c>
      <c r="G593" s="16" t="s">
        <v>30</v>
      </c>
      <c r="H593" s="16" t="s">
        <v>31</v>
      </c>
      <c r="I593" s="16" t="s">
        <v>32</v>
      </c>
      <c r="L593" t="s">
        <v>144</v>
      </c>
    </row>
    <row r="594">
      <c r="B594" s="24">
        <v>46058</v>
      </c>
      <c r="C594" s="16">
        <v>611</v>
      </c>
      <c r="D594" s="1" t="s">
        <v>138</v>
      </c>
      <c r="E594" s="1" t="s">
        <v>139</v>
      </c>
      <c r="F594" s="16">
        <v>2</v>
      </c>
      <c r="G594" s="16" t="s">
        <v>30</v>
      </c>
      <c r="H594" s="16" t="s">
        <v>31</v>
      </c>
      <c r="I594" s="16" t="s">
        <v>32</v>
      </c>
      <c r="L594" t="s">
        <v>140</v>
      </c>
    </row>
    <row r="595">
      <c r="B595" s="24">
        <v>46058</v>
      </c>
      <c r="C595" s="16">
        <v>411</v>
      </c>
      <c r="D595" s="1" t="s">
        <v>138</v>
      </c>
      <c r="E595" s="1" t="s">
        <v>139</v>
      </c>
      <c r="F595" s="16">
        <v>2</v>
      </c>
      <c r="G595" s="16" t="s">
        <v>30</v>
      </c>
      <c r="H595" s="16" t="s">
        <v>31</v>
      </c>
      <c r="I595" s="16" t="s">
        <v>32</v>
      </c>
      <c r="L595" t="s">
        <v>141</v>
      </c>
    </row>
    <row r="596">
      <c r="B596" s="24">
        <v>46058</v>
      </c>
      <c r="C596" s="16">
        <v>11</v>
      </c>
      <c r="D596" s="1" t="s">
        <v>138</v>
      </c>
      <c r="E596" s="1" t="s">
        <v>139</v>
      </c>
      <c r="F596" s="16">
        <v>2</v>
      </c>
      <c r="G596" s="16" t="s">
        <v>30</v>
      </c>
      <c r="H596" s="16" t="s">
        <v>31</v>
      </c>
      <c r="I596" s="16" t="s">
        <v>32</v>
      </c>
      <c r="L596" t="s">
        <v>142</v>
      </c>
    </row>
    <row r="597">
      <c r="B597" s="24">
        <v>46058</v>
      </c>
      <c r="C597" s="16">
        <v>77</v>
      </c>
      <c r="D597" s="1" t="s">
        <v>138</v>
      </c>
      <c r="E597" s="1" t="s">
        <v>139</v>
      </c>
      <c r="F597" s="16">
        <v>2</v>
      </c>
      <c r="G597" s="16" t="s">
        <v>30</v>
      </c>
      <c r="H597" s="16" t="s">
        <v>31</v>
      </c>
      <c r="I597" s="16" t="s">
        <v>32</v>
      </c>
      <c r="L597" t="s">
        <v>143</v>
      </c>
    </row>
    <row r="598">
      <c r="B598" s="24">
        <v>46058</v>
      </c>
      <c r="C598" s="16">
        <v>284</v>
      </c>
      <c r="D598" s="1" t="s">
        <v>138</v>
      </c>
      <c r="E598" s="1" t="s">
        <v>139</v>
      </c>
      <c r="F598" s="16">
        <v>2</v>
      </c>
      <c r="G598" s="16" t="s">
        <v>30</v>
      </c>
      <c r="H598" s="16" t="s">
        <v>31</v>
      </c>
      <c r="I598" s="16" t="s">
        <v>32</v>
      </c>
      <c r="L598" t="s">
        <v>144</v>
      </c>
    </row>
    <row r="599">
      <c r="B599" s="24">
        <v>46065</v>
      </c>
      <c r="C599" s="16">
        <v>497</v>
      </c>
      <c r="D599" s="1" t="s">
        <v>138</v>
      </c>
      <c r="E599" s="1" t="s">
        <v>139</v>
      </c>
      <c r="F599" s="16">
        <v>2</v>
      </c>
      <c r="G599" s="16" t="s">
        <v>30</v>
      </c>
      <c r="H599" s="16" t="s">
        <v>31</v>
      </c>
      <c r="I599" s="16" t="s">
        <v>32</v>
      </c>
      <c r="L599" t="s">
        <v>140</v>
      </c>
    </row>
    <row r="600">
      <c r="B600" s="24">
        <v>46065</v>
      </c>
      <c r="C600" s="16">
        <v>347</v>
      </c>
      <c r="D600" s="1" t="s">
        <v>138</v>
      </c>
      <c r="E600" s="1" t="s">
        <v>139</v>
      </c>
      <c r="F600" s="16">
        <v>2</v>
      </c>
      <c r="G600" s="16" t="s">
        <v>30</v>
      </c>
      <c r="H600" s="16" t="s">
        <v>31</v>
      </c>
      <c r="I600" s="16" t="s">
        <v>32</v>
      </c>
      <c r="L600" t="s">
        <v>141</v>
      </c>
    </row>
    <row r="601">
      <c r="B601" s="24">
        <v>46065</v>
      </c>
      <c r="C601" s="16">
        <v>10</v>
      </c>
      <c r="D601" s="1" t="s">
        <v>138</v>
      </c>
      <c r="E601" s="1" t="s">
        <v>139</v>
      </c>
      <c r="F601" s="16">
        <v>2</v>
      </c>
      <c r="G601" s="16" t="s">
        <v>30</v>
      </c>
      <c r="H601" s="16" t="s">
        <v>31</v>
      </c>
      <c r="I601" s="16" t="s">
        <v>32</v>
      </c>
      <c r="L601" t="s">
        <v>142</v>
      </c>
    </row>
    <row r="602">
      <c r="B602" s="24">
        <v>46065</v>
      </c>
      <c r="C602" s="16">
        <v>66</v>
      </c>
      <c r="D602" s="1" t="s">
        <v>138</v>
      </c>
      <c r="E602" s="1" t="s">
        <v>139</v>
      </c>
      <c r="F602" s="16">
        <v>2</v>
      </c>
      <c r="G602" s="16" t="s">
        <v>30</v>
      </c>
      <c r="H602" s="16" t="s">
        <v>31</v>
      </c>
      <c r="I602" s="16" t="s">
        <v>32</v>
      </c>
      <c r="L602" t="s">
        <v>143</v>
      </c>
    </row>
    <row r="603">
      <c r="B603" s="24">
        <v>46065</v>
      </c>
      <c r="C603" s="16">
        <v>265</v>
      </c>
      <c r="D603" s="1" t="s">
        <v>138</v>
      </c>
      <c r="E603" s="1" t="s">
        <v>139</v>
      </c>
      <c r="F603" s="16">
        <v>2</v>
      </c>
      <c r="G603" s="16" t="s">
        <v>30</v>
      </c>
      <c r="H603" s="16" t="s">
        <v>31</v>
      </c>
      <c r="I603" s="16" t="s">
        <v>32</v>
      </c>
      <c r="L603" t="s">
        <v>144</v>
      </c>
    </row>
    <row r="604">
      <c r="B604" s="24">
        <v>46072</v>
      </c>
      <c r="C604" s="16">
        <v>434</v>
      </c>
      <c r="D604" s="1" t="s">
        <v>138</v>
      </c>
      <c r="E604" s="1" t="s">
        <v>139</v>
      </c>
      <c r="F604" s="16">
        <v>2</v>
      </c>
      <c r="G604" s="16" t="s">
        <v>30</v>
      </c>
      <c r="H604" s="16" t="s">
        <v>31</v>
      </c>
      <c r="I604" s="16" t="s">
        <v>32</v>
      </c>
      <c r="L604" t="s">
        <v>140</v>
      </c>
    </row>
    <row r="605">
      <c r="B605" s="24">
        <v>46072</v>
      </c>
      <c r="C605" s="16">
        <v>384</v>
      </c>
      <c r="D605" s="1" t="s">
        <v>138</v>
      </c>
      <c r="E605" s="1" t="s">
        <v>139</v>
      </c>
      <c r="F605" s="16">
        <v>2</v>
      </c>
      <c r="G605" s="16" t="s">
        <v>30</v>
      </c>
      <c r="H605" s="16" t="s">
        <v>31</v>
      </c>
      <c r="I605" s="16" t="s">
        <v>32</v>
      </c>
      <c r="L605" t="s">
        <v>141</v>
      </c>
    </row>
    <row r="606">
      <c r="B606" s="24">
        <v>46072</v>
      </c>
      <c r="C606" s="16">
        <v>11</v>
      </c>
      <c r="D606" s="1" t="s">
        <v>138</v>
      </c>
      <c r="E606" s="1" t="s">
        <v>139</v>
      </c>
      <c r="F606" s="16">
        <v>2</v>
      </c>
      <c r="G606" s="16" t="s">
        <v>30</v>
      </c>
      <c r="H606" s="16" t="s">
        <v>31</v>
      </c>
      <c r="I606" s="16" t="s">
        <v>32</v>
      </c>
      <c r="L606" t="s">
        <v>142</v>
      </c>
    </row>
    <row r="607">
      <c r="B607" s="24">
        <v>46072</v>
      </c>
      <c r="C607" s="16">
        <v>89</v>
      </c>
      <c r="D607" s="1" t="s">
        <v>138</v>
      </c>
      <c r="E607" s="1" t="s">
        <v>139</v>
      </c>
      <c r="F607" s="16">
        <v>2</v>
      </c>
      <c r="G607" s="16" t="s">
        <v>30</v>
      </c>
      <c r="H607" s="16" t="s">
        <v>31</v>
      </c>
      <c r="I607" s="16" t="s">
        <v>32</v>
      </c>
      <c r="L607" t="s">
        <v>143</v>
      </c>
    </row>
    <row r="608">
      <c r="B608" s="24">
        <v>46072</v>
      </c>
      <c r="C608" s="16">
        <v>246</v>
      </c>
      <c r="D608" s="1" t="s">
        <v>138</v>
      </c>
      <c r="E608" s="1" t="s">
        <v>139</v>
      </c>
      <c r="F608" s="16">
        <v>2</v>
      </c>
      <c r="G608" s="16" t="s">
        <v>30</v>
      </c>
      <c r="H608" s="16" t="s">
        <v>31</v>
      </c>
      <c r="I608" s="16" t="s">
        <v>32</v>
      </c>
      <c r="L608" t="s">
        <v>144</v>
      </c>
    </row>
    <row r="609">
      <c r="B609" s="24">
        <v>46079</v>
      </c>
      <c r="C609" s="16">
        <v>369</v>
      </c>
      <c r="D609" s="1" t="s">
        <v>138</v>
      </c>
      <c r="E609" s="1" t="s">
        <v>139</v>
      </c>
      <c r="F609" s="16">
        <v>2</v>
      </c>
      <c r="G609" s="16" t="s">
        <v>30</v>
      </c>
      <c r="H609" s="16" t="s">
        <v>31</v>
      </c>
      <c r="I609" s="16" t="s">
        <v>32</v>
      </c>
      <c r="L609" t="s">
        <v>140</v>
      </c>
    </row>
    <row r="610">
      <c r="B610" s="24">
        <v>46079</v>
      </c>
      <c r="C610" s="16">
        <v>340</v>
      </c>
      <c r="D610" s="1" t="s">
        <v>138</v>
      </c>
      <c r="E610" s="1" t="s">
        <v>139</v>
      </c>
      <c r="F610" s="16">
        <v>2</v>
      </c>
      <c r="G610" s="16" t="s">
        <v>30</v>
      </c>
      <c r="H610" s="16" t="s">
        <v>31</v>
      </c>
      <c r="I610" s="16" t="s">
        <v>32</v>
      </c>
      <c r="L610" t="s">
        <v>141</v>
      </c>
    </row>
    <row r="611">
      <c r="B611" s="24">
        <v>46079</v>
      </c>
      <c r="C611" s="16">
        <v>13</v>
      </c>
      <c r="D611" s="1" t="s">
        <v>138</v>
      </c>
      <c r="E611" s="1" t="s">
        <v>139</v>
      </c>
      <c r="F611" s="16">
        <v>2</v>
      </c>
      <c r="G611" s="16" t="s">
        <v>30</v>
      </c>
      <c r="H611" s="16" t="s">
        <v>31</v>
      </c>
      <c r="I611" s="16" t="s">
        <v>32</v>
      </c>
      <c r="L611" t="s">
        <v>142</v>
      </c>
    </row>
    <row r="612">
      <c r="B612" s="24">
        <v>46079</v>
      </c>
      <c r="C612" s="16">
        <v>52</v>
      </c>
      <c r="D612" s="1" t="s">
        <v>138</v>
      </c>
      <c r="E612" s="1" t="s">
        <v>139</v>
      </c>
      <c r="F612" s="16">
        <v>2</v>
      </c>
      <c r="G612" s="16" t="s">
        <v>30</v>
      </c>
      <c r="H612" s="16" t="s">
        <v>31</v>
      </c>
      <c r="I612" s="16" t="s">
        <v>32</v>
      </c>
      <c r="L612" t="s">
        <v>143</v>
      </c>
    </row>
    <row r="613">
      <c r="B613" s="24">
        <v>46079</v>
      </c>
      <c r="C613" s="16">
        <v>245</v>
      </c>
      <c r="D613" s="1" t="s">
        <v>138</v>
      </c>
      <c r="E613" s="1" t="s">
        <v>139</v>
      </c>
      <c r="F613" s="16">
        <v>2</v>
      </c>
      <c r="G613" s="16" t="s">
        <v>30</v>
      </c>
      <c r="H613" s="16" t="s">
        <v>31</v>
      </c>
      <c r="I613" s="16" t="s">
        <v>32</v>
      </c>
      <c r="L613" t="s">
        <v>144</v>
      </c>
    </row>
    <row r="614">
      <c r="B614" s="24">
        <v>46086</v>
      </c>
      <c r="C614" s="16">
        <v>385</v>
      </c>
      <c r="D614" s="1" t="s">
        <v>138</v>
      </c>
      <c r="E614" s="1" t="s">
        <v>139</v>
      </c>
      <c r="F614" s="16">
        <v>2</v>
      </c>
      <c r="G614" s="16" t="s">
        <v>30</v>
      </c>
      <c r="H614" s="16" t="s">
        <v>31</v>
      </c>
      <c r="I614" s="16" t="s">
        <v>32</v>
      </c>
      <c r="L614" t="s">
        <v>140</v>
      </c>
    </row>
    <row r="615">
      <c r="B615" s="24">
        <v>46086</v>
      </c>
      <c r="C615" s="16">
        <v>322</v>
      </c>
      <c r="D615" s="1" t="s">
        <v>138</v>
      </c>
      <c r="E615" s="1" t="s">
        <v>139</v>
      </c>
      <c r="F615" s="16">
        <v>2</v>
      </c>
      <c r="G615" s="16" t="s">
        <v>30</v>
      </c>
      <c r="H615" s="16" t="s">
        <v>31</v>
      </c>
      <c r="I615" s="16" t="s">
        <v>32</v>
      </c>
      <c r="L615" t="s">
        <v>141</v>
      </c>
    </row>
    <row r="616">
      <c r="B616" s="24">
        <v>46086</v>
      </c>
      <c r="C616" s="16">
        <v>8</v>
      </c>
      <c r="D616" s="1" t="s">
        <v>138</v>
      </c>
      <c r="E616" s="1" t="s">
        <v>139</v>
      </c>
      <c r="F616" s="16">
        <v>2</v>
      </c>
      <c r="G616" s="16" t="s">
        <v>30</v>
      </c>
      <c r="H616" s="16" t="s">
        <v>31</v>
      </c>
      <c r="I616" s="16" t="s">
        <v>32</v>
      </c>
      <c r="L616" t="s">
        <v>142</v>
      </c>
    </row>
    <row r="617">
      <c r="B617" s="24">
        <v>46086</v>
      </c>
      <c r="C617" s="16">
        <v>54</v>
      </c>
      <c r="D617" s="1" t="s">
        <v>138</v>
      </c>
      <c r="E617" s="1" t="s">
        <v>139</v>
      </c>
      <c r="F617" s="16">
        <v>2</v>
      </c>
      <c r="G617" s="16" t="s">
        <v>30</v>
      </c>
      <c r="H617" s="16" t="s">
        <v>31</v>
      </c>
      <c r="I617" s="16" t="s">
        <v>32</v>
      </c>
      <c r="L617" t="s">
        <v>143</v>
      </c>
    </row>
    <row r="618">
      <c r="B618" s="24">
        <v>46086</v>
      </c>
      <c r="C618" s="16">
        <v>255</v>
      </c>
      <c r="D618" s="1" t="s">
        <v>138</v>
      </c>
      <c r="E618" s="1" t="s">
        <v>139</v>
      </c>
      <c r="F618" s="16">
        <v>2</v>
      </c>
      <c r="G618" s="16" t="s">
        <v>30</v>
      </c>
      <c r="H618" s="16" t="s">
        <v>31</v>
      </c>
      <c r="I618" s="16" t="s">
        <v>32</v>
      </c>
      <c r="L618" t="s">
        <v>144</v>
      </c>
    </row>
    <row r="619">
      <c r="B619" s="24">
        <v>46093</v>
      </c>
      <c r="C619" s="16">
        <v>337</v>
      </c>
      <c r="D619" s="1" t="s">
        <v>138</v>
      </c>
      <c r="E619" s="1" t="s">
        <v>139</v>
      </c>
      <c r="F619" s="16">
        <v>2</v>
      </c>
      <c r="G619" s="16" t="s">
        <v>30</v>
      </c>
      <c r="H619" s="16" t="s">
        <v>31</v>
      </c>
      <c r="I619" s="16" t="s">
        <v>32</v>
      </c>
      <c r="L619" t="s">
        <v>140</v>
      </c>
    </row>
    <row r="620">
      <c r="B620" s="24">
        <v>46093</v>
      </c>
      <c r="C620" s="16">
        <v>272</v>
      </c>
      <c r="D620" s="1" t="s">
        <v>138</v>
      </c>
      <c r="E620" s="1" t="s">
        <v>139</v>
      </c>
      <c r="F620" s="16">
        <v>2</v>
      </c>
      <c r="G620" s="16" t="s">
        <v>30</v>
      </c>
      <c r="H620" s="16" t="s">
        <v>31</v>
      </c>
      <c r="I620" s="16" t="s">
        <v>32</v>
      </c>
      <c r="L620" t="s">
        <v>141</v>
      </c>
    </row>
    <row r="621">
      <c r="B621" s="24">
        <v>46093</v>
      </c>
      <c r="C621" s="16">
        <v>11</v>
      </c>
      <c r="D621" s="1" t="s">
        <v>138</v>
      </c>
      <c r="E621" s="1" t="s">
        <v>139</v>
      </c>
      <c r="F621" s="16">
        <v>2</v>
      </c>
      <c r="G621" s="16" t="s">
        <v>30</v>
      </c>
      <c r="H621" s="16" t="s">
        <v>31</v>
      </c>
      <c r="I621" s="16" t="s">
        <v>32</v>
      </c>
      <c r="L621" t="s">
        <v>142</v>
      </c>
    </row>
    <row r="622">
      <c r="B622" s="24">
        <v>46093</v>
      </c>
      <c r="C622" s="16">
        <v>44</v>
      </c>
      <c r="D622" s="1" t="s">
        <v>138</v>
      </c>
      <c r="E622" s="1" t="s">
        <v>139</v>
      </c>
      <c r="F622" s="16">
        <v>2</v>
      </c>
      <c r="G622" s="16" t="s">
        <v>30</v>
      </c>
      <c r="H622" s="16" t="s">
        <v>31</v>
      </c>
      <c r="I622" s="16" t="s">
        <v>32</v>
      </c>
      <c r="L622" t="s">
        <v>143</v>
      </c>
    </row>
    <row r="623">
      <c r="B623" s="24">
        <v>46093</v>
      </c>
      <c r="C623" s="16">
        <v>194</v>
      </c>
      <c r="D623" s="1" t="s">
        <v>138</v>
      </c>
      <c r="E623" s="1" t="s">
        <v>139</v>
      </c>
      <c r="F623" s="16">
        <v>2</v>
      </c>
      <c r="G623" s="16" t="s">
        <v>30</v>
      </c>
      <c r="H623" s="16" t="s">
        <v>31</v>
      </c>
      <c r="I623" s="16" t="s">
        <v>32</v>
      </c>
      <c r="L623" t="s">
        <v>144</v>
      </c>
    </row>
    <row r="624">
      <c r="B624" s="24">
        <v>46100</v>
      </c>
      <c r="C624" s="16">
        <v>1</v>
      </c>
      <c r="D624" s="1" t="s">
        <v>138</v>
      </c>
      <c r="E624" s="1" t="s">
        <v>139</v>
      </c>
      <c r="F624" s="16">
        <v>2</v>
      </c>
      <c r="G624" s="16" t="s">
        <v>30</v>
      </c>
      <c r="H624" s="16" t="s">
        <v>31</v>
      </c>
      <c r="I624" s="16" t="s">
        <v>32</v>
      </c>
      <c r="L624" t="s">
        <v>145</v>
      </c>
    </row>
    <row r="625">
      <c r="B625" s="24">
        <v>46100</v>
      </c>
      <c r="C625" s="16">
        <v>351</v>
      </c>
      <c r="D625" s="1" t="s">
        <v>138</v>
      </c>
      <c r="E625" s="1" t="s">
        <v>139</v>
      </c>
      <c r="F625" s="16">
        <v>2</v>
      </c>
      <c r="G625" s="16" t="s">
        <v>30</v>
      </c>
      <c r="H625" s="16" t="s">
        <v>31</v>
      </c>
      <c r="I625" s="16" t="s">
        <v>32</v>
      </c>
      <c r="L625" t="s">
        <v>140</v>
      </c>
    </row>
    <row r="626">
      <c r="B626" s="24">
        <v>46100</v>
      </c>
      <c r="C626" s="16">
        <v>377</v>
      </c>
      <c r="D626" s="1" t="s">
        <v>138</v>
      </c>
      <c r="E626" s="1" t="s">
        <v>139</v>
      </c>
      <c r="F626" s="16">
        <v>2</v>
      </c>
      <c r="G626" s="16" t="s">
        <v>30</v>
      </c>
      <c r="H626" s="16" t="s">
        <v>31</v>
      </c>
      <c r="I626" s="16" t="s">
        <v>32</v>
      </c>
      <c r="L626" t="s">
        <v>141</v>
      </c>
    </row>
    <row r="627">
      <c r="B627" s="24">
        <v>46100</v>
      </c>
      <c r="C627" s="16">
        <v>15</v>
      </c>
      <c r="D627" s="1" t="s">
        <v>138</v>
      </c>
      <c r="E627" s="1" t="s">
        <v>139</v>
      </c>
      <c r="F627" s="16">
        <v>2</v>
      </c>
      <c r="G627" s="16" t="s">
        <v>30</v>
      </c>
      <c r="H627" s="16" t="s">
        <v>31</v>
      </c>
      <c r="I627" s="16" t="s">
        <v>32</v>
      </c>
      <c r="L627" t="s">
        <v>142</v>
      </c>
    </row>
    <row r="628">
      <c r="B628" s="24">
        <v>46100</v>
      </c>
      <c r="C628" s="16">
        <v>77</v>
      </c>
      <c r="D628" s="1" t="s">
        <v>138</v>
      </c>
      <c r="E628" s="1" t="s">
        <v>139</v>
      </c>
      <c r="F628" s="16">
        <v>2</v>
      </c>
      <c r="G628" s="16" t="s">
        <v>30</v>
      </c>
      <c r="H628" s="16" t="s">
        <v>31</v>
      </c>
      <c r="I628" s="16" t="s">
        <v>32</v>
      </c>
      <c r="L628" t="s">
        <v>143</v>
      </c>
    </row>
    <row r="629">
      <c r="B629" s="24">
        <v>46100</v>
      </c>
      <c r="C629" s="16">
        <v>181</v>
      </c>
      <c r="D629" s="1" t="s">
        <v>138</v>
      </c>
      <c r="E629" s="1" t="s">
        <v>139</v>
      </c>
      <c r="F629" s="16">
        <v>2</v>
      </c>
      <c r="G629" s="16" t="s">
        <v>30</v>
      </c>
      <c r="H629" s="16" t="s">
        <v>31</v>
      </c>
      <c r="I629" s="16" t="s">
        <v>32</v>
      </c>
      <c r="L629" t="s">
        <v>144</v>
      </c>
    </row>
    <row r="630">
      <c r="B630" s="24">
        <v>46107</v>
      </c>
      <c r="C630" s="16">
        <v>343</v>
      </c>
      <c r="D630" s="1" t="s">
        <v>138</v>
      </c>
      <c r="E630" s="1" t="s">
        <v>139</v>
      </c>
      <c r="F630" s="16">
        <v>2</v>
      </c>
      <c r="G630" s="16" t="s">
        <v>30</v>
      </c>
      <c r="H630" s="16" t="s">
        <v>31</v>
      </c>
      <c r="I630" s="16" t="s">
        <v>32</v>
      </c>
      <c r="L630" t="s">
        <v>140</v>
      </c>
    </row>
    <row r="631">
      <c r="B631" s="24">
        <v>46107</v>
      </c>
      <c r="C631" s="16">
        <v>323</v>
      </c>
      <c r="D631" s="1" t="s">
        <v>138</v>
      </c>
      <c r="E631" s="1" t="s">
        <v>139</v>
      </c>
      <c r="F631" s="16">
        <v>2</v>
      </c>
      <c r="G631" s="16" t="s">
        <v>30</v>
      </c>
      <c r="H631" s="16" t="s">
        <v>31</v>
      </c>
      <c r="I631" s="16" t="s">
        <v>32</v>
      </c>
      <c r="L631" t="s">
        <v>141</v>
      </c>
    </row>
    <row r="632">
      <c r="B632" s="24">
        <v>46107</v>
      </c>
      <c r="C632" s="16">
        <v>8</v>
      </c>
      <c r="D632" s="1" t="s">
        <v>138</v>
      </c>
      <c r="E632" s="1" t="s">
        <v>139</v>
      </c>
      <c r="F632" s="16">
        <v>2</v>
      </c>
      <c r="G632" s="16" t="s">
        <v>30</v>
      </c>
      <c r="H632" s="16" t="s">
        <v>31</v>
      </c>
      <c r="I632" s="16" t="s">
        <v>32</v>
      </c>
      <c r="L632" t="s">
        <v>142</v>
      </c>
    </row>
    <row r="633">
      <c r="B633" s="24">
        <v>46107</v>
      </c>
      <c r="C633" s="16">
        <v>51</v>
      </c>
      <c r="D633" s="1" t="s">
        <v>138</v>
      </c>
      <c r="E633" s="1" t="s">
        <v>139</v>
      </c>
      <c r="F633" s="16">
        <v>2</v>
      </c>
      <c r="G633" s="16" t="s">
        <v>30</v>
      </c>
      <c r="H633" s="16" t="s">
        <v>31</v>
      </c>
      <c r="I633" s="16" t="s">
        <v>32</v>
      </c>
      <c r="L633" t="s">
        <v>143</v>
      </c>
    </row>
    <row r="634">
      <c r="B634" s="24">
        <v>46107</v>
      </c>
      <c r="C634" s="16">
        <v>178</v>
      </c>
      <c r="D634" s="1" t="s">
        <v>138</v>
      </c>
      <c r="E634" s="1" t="s">
        <v>139</v>
      </c>
      <c r="F634" s="16">
        <v>2</v>
      </c>
      <c r="G634" s="16" t="s">
        <v>30</v>
      </c>
      <c r="H634" s="16" t="s">
        <v>31</v>
      </c>
      <c r="I634" s="16" t="s">
        <v>32</v>
      </c>
      <c r="L634" t="s">
        <v>144</v>
      </c>
    </row>
    <row r="635">
      <c r="B635" s="24">
        <v>46114</v>
      </c>
      <c r="C635" s="16">
        <v>333</v>
      </c>
      <c r="D635" s="1" t="s">
        <v>138</v>
      </c>
      <c r="E635" s="1" t="s">
        <v>139</v>
      </c>
      <c r="F635" s="16">
        <v>2</v>
      </c>
      <c r="G635" s="16" t="s">
        <v>30</v>
      </c>
      <c r="H635" s="16" t="s">
        <v>31</v>
      </c>
      <c r="I635" s="16" t="s">
        <v>32</v>
      </c>
      <c r="L635" t="s">
        <v>140</v>
      </c>
    </row>
    <row r="636">
      <c r="B636" s="24">
        <v>46114</v>
      </c>
      <c r="C636" s="16">
        <v>347</v>
      </c>
      <c r="D636" s="1" t="s">
        <v>138</v>
      </c>
      <c r="E636" s="1" t="s">
        <v>139</v>
      </c>
      <c r="F636" s="16">
        <v>2</v>
      </c>
      <c r="G636" s="16" t="s">
        <v>30</v>
      </c>
      <c r="H636" s="16" t="s">
        <v>31</v>
      </c>
      <c r="I636" s="16" t="s">
        <v>32</v>
      </c>
      <c r="L636" t="s">
        <v>141</v>
      </c>
    </row>
    <row r="637">
      <c r="B637" s="24">
        <v>46114</v>
      </c>
      <c r="C637" s="16">
        <v>8</v>
      </c>
      <c r="D637" s="1" t="s">
        <v>138</v>
      </c>
      <c r="E637" s="1" t="s">
        <v>139</v>
      </c>
      <c r="F637" s="16">
        <v>2</v>
      </c>
      <c r="G637" s="16" t="s">
        <v>30</v>
      </c>
      <c r="H637" s="16" t="s">
        <v>31</v>
      </c>
      <c r="I637" s="16" t="s">
        <v>32</v>
      </c>
      <c r="L637" t="s">
        <v>142</v>
      </c>
    </row>
    <row r="638">
      <c r="B638" s="24">
        <v>46114</v>
      </c>
      <c r="C638" s="16">
        <v>65</v>
      </c>
      <c r="D638" s="1" t="s">
        <v>138</v>
      </c>
      <c r="E638" s="1" t="s">
        <v>139</v>
      </c>
      <c r="F638" s="16">
        <v>2</v>
      </c>
      <c r="G638" s="16" t="s">
        <v>30</v>
      </c>
      <c r="H638" s="16" t="s">
        <v>31</v>
      </c>
      <c r="I638" s="16" t="s">
        <v>32</v>
      </c>
      <c r="L638" t="s">
        <v>143</v>
      </c>
    </row>
    <row r="639">
      <c r="B639" s="24">
        <v>46114</v>
      </c>
      <c r="C639" s="16">
        <v>175</v>
      </c>
      <c r="D639" s="1" t="s">
        <v>138</v>
      </c>
      <c r="E639" s="1" t="s">
        <v>139</v>
      </c>
      <c r="F639" s="16">
        <v>2</v>
      </c>
      <c r="G639" s="16" t="s">
        <v>30</v>
      </c>
      <c r="H639" s="16" t="s">
        <v>31</v>
      </c>
      <c r="I639" s="16" t="s">
        <v>32</v>
      </c>
      <c r="L639" t="s">
        <v>144</v>
      </c>
    </row>
    <row r="640">
      <c r="B640" s="24">
        <v>46121</v>
      </c>
      <c r="C640" s="16">
        <v>274</v>
      </c>
      <c r="D640" s="1" t="s">
        <v>138</v>
      </c>
      <c r="E640" s="1" t="s">
        <v>139</v>
      </c>
      <c r="F640" s="16">
        <v>2</v>
      </c>
      <c r="G640" s="16" t="s">
        <v>30</v>
      </c>
      <c r="H640" s="16" t="s">
        <v>31</v>
      </c>
      <c r="I640" s="16" t="s">
        <v>32</v>
      </c>
      <c r="L640" t="s">
        <v>140</v>
      </c>
    </row>
    <row r="641">
      <c r="B641" s="24">
        <v>46121</v>
      </c>
      <c r="C641" s="16">
        <v>235</v>
      </c>
      <c r="D641" s="1" t="s">
        <v>138</v>
      </c>
      <c r="E641" s="1" t="s">
        <v>139</v>
      </c>
      <c r="F641" s="16">
        <v>2</v>
      </c>
      <c r="G641" s="16" t="s">
        <v>30</v>
      </c>
      <c r="H641" s="16" t="s">
        <v>31</v>
      </c>
      <c r="I641" s="16" t="s">
        <v>32</v>
      </c>
      <c r="L641" t="s">
        <v>141</v>
      </c>
    </row>
    <row r="642">
      <c r="B642" s="24">
        <v>46121</v>
      </c>
      <c r="C642" s="16">
        <v>10</v>
      </c>
      <c r="D642" s="1" t="s">
        <v>138</v>
      </c>
      <c r="E642" s="1" t="s">
        <v>139</v>
      </c>
      <c r="F642" s="16">
        <v>2</v>
      </c>
      <c r="G642" s="16" t="s">
        <v>30</v>
      </c>
      <c r="H642" s="16" t="s">
        <v>31</v>
      </c>
      <c r="I642" s="16" t="s">
        <v>32</v>
      </c>
      <c r="L642" t="s">
        <v>142</v>
      </c>
    </row>
    <row r="643">
      <c r="B643" s="24">
        <v>46121</v>
      </c>
      <c r="C643" s="16">
        <v>47</v>
      </c>
      <c r="D643" s="1" t="s">
        <v>138</v>
      </c>
      <c r="E643" s="1" t="s">
        <v>139</v>
      </c>
      <c r="F643" s="16">
        <v>2</v>
      </c>
      <c r="G643" s="16" t="s">
        <v>30</v>
      </c>
      <c r="H643" s="16" t="s">
        <v>31</v>
      </c>
      <c r="I643" s="16" t="s">
        <v>32</v>
      </c>
      <c r="L643" t="s">
        <v>143</v>
      </c>
    </row>
    <row r="644">
      <c r="B644" s="24">
        <v>46121</v>
      </c>
      <c r="C644" s="16">
        <v>131</v>
      </c>
      <c r="D644" s="1" t="s">
        <v>138</v>
      </c>
      <c r="E644" s="1" t="s">
        <v>139</v>
      </c>
      <c r="F644" s="16">
        <v>2</v>
      </c>
      <c r="G644" s="16" t="s">
        <v>30</v>
      </c>
      <c r="H644" s="16" t="s">
        <v>31</v>
      </c>
      <c r="I644" s="16" t="s">
        <v>32</v>
      </c>
      <c r="L644" t="s">
        <v>144</v>
      </c>
    </row>
    <row r="645">
      <c r="B645" s="24">
        <v>45911</v>
      </c>
      <c r="C645" s="16">
        <v>16</v>
      </c>
      <c r="D645" s="1" t="s">
        <v>146</v>
      </c>
      <c r="E645" s="1" t="s">
        <v>139</v>
      </c>
      <c r="F645" s="16">
        <v>3</v>
      </c>
      <c r="G645" s="16" t="s">
        <v>30</v>
      </c>
      <c r="H645" s="16" t="s">
        <v>31</v>
      </c>
      <c r="I645" s="16" t="s">
        <v>32</v>
      </c>
      <c r="K645" s="1" t="s">
        <v>46</v>
      </c>
      <c r="L645" t="s">
        <v>140</v>
      </c>
    </row>
    <row r="646">
      <c r="B646" s="24">
        <v>45911</v>
      </c>
      <c r="C646" s="16">
        <v>27</v>
      </c>
      <c r="D646" s="1" t="s">
        <v>146</v>
      </c>
      <c r="E646" s="1" t="s">
        <v>139</v>
      </c>
      <c r="F646" s="16">
        <v>3</v>
      </c>
      <c r="G646" s="16" t="s">
        <v>30</v>
      </c>
      <c r="H646" s="16" t="s">
        <v>31</v>
      </c>
      <c r="I646" s="16" t="s">
        <v>32</v>
      </c>
      <c r="J646" s="1"/>
      <c r="K646" t="s">
        <v>46</v>
      </c>
      <c r="L646" t="s">
        <v>46</v>
      </c>
    </row>
    <row r="647">
      <c r="B647" s="24">
        <v>45911</v>
      </c>
      <c r="C647" s="16">
        <v>3</v>
      </c>
      <c r="D647" s="1" t="s">
        <v>146</v>
      </c>
      <c r="E647" s="1" t="s">
        <v>139</v>
      </c>
      <c r="F647" s="16">
        <v>3</v>
      </c>
      <c r="G647" s="16" t="s">
        <v>30</v>
      </c>
      <c r="H647" s="16" t="s">
        <v>31</v>
      </c>
      <c r="I647" s="16" t="s">
        <v>32</v>
      </c>
      <c r="J647" s="1"/>
      <c r="K647" t="s">
        <v>46</v>
      </c>
      <c r="L647" t="s">
        <v>143</v>
      </c>
    </row>
    <row r="648">
      <c r="B648" s="24">
        <v>45911</v>
      </c>
      <c r="C648" s="16">
        <v>13</v>
      </c>
      <c r="D648" s="1" t="s">
        <v>146</v>
      </c>
      <c r="E648" s="1" t="s">
        <v>139</v>
      </c>
      <c r="F648" s="16">
        <v>3</v>
      </c>
      <c r="G648" s="16" t="s">
        <v>30</v>
      </c>
      <c r="H648" s="16" t="s">
        <v>31</v>
      </c>
      <c r="I648" s="16" t="s">
        <v>32</v>
      </c>
      <c r="J648" s="1"/>
      <c r="K648" t="s">
        <v>46</v>
      </c>
      <c r="L648" t="s">
        <v>144</v>
      </c>
    </row>
    <row r="649">
      <c r="B649" s="37">
        <v>45911</v>
      </c>
      <c r="C649" s="16">
        <v>51</v>
      </c>
      <c r="D649" s="1" t="s">
        <v>146</v>
      </c>
      <c r="E649" s="1" t="s">
        <v>139</v>
      </c>
      <c r="F649" s="16">
        <v>3</v>
      </c>
      <c r="G649" s="16" t="s">
        <v>30</v>
      </c>
      <c r="H649" s="16" t="s">
        <v>31</v>
      </c>
      <c r="I649" s="16" t="s">
        <v>32</v>
      </c>
      <c r="J649" s="1"/>
      <c r="K649" t="s">
        <v>46</v>
      </c>
      <c r="L649" t="s">
        <v>140</v>
      </c>
    </row>
    <row r="650">
      <c r="B650" s="37">
        <v>45911</v>
      </c>
      <c r="C650" s="16">
        <v>31</v>
      </c>
      <c r="D650" s="1" t="s">
        <v>146</v>
      </c>
      <c r="E650" s="1" t="s">
        <v>139</v>
      </c>
      <c r="F650" s="16">
        <v>3</v>
      </c>
      <c r="G650" s="16" t="s">
        <v>30</v>
      </c>
      <c r="H650" s="16" t="s">
        <v>31</v>
      </c>
      <c r="I650" s="16" t="s">
        <v>32</v>
      </c>
      <c r="J650" s="1"/>
      <c r="K650" t="s">
        <v>46</v>
      </c>
      <c r="L650" t="s">
        <v>141</v>
      </c>
    </row>
    <row r="651">
      <c r="B651" s="37">
        <v>45911</v>
      </c>
      <c r="C651" s="16">
        <v>10</v>
      </c>
      <c r="D651" s="1" t="s">
        <v>146</v>
      </c>
      <c r="E651" s="1" t="s">
        <v>139</v>
      </c>
      <c r="F651" s="16">
        <v>3</v>
      </c>
      <c r="G651" s="16" t="s">
        <v>30</v>
      </c>
      <c r="H651" s="16" t="s">
        <v>31</v>
      </c>
      <c r="I651" s="16" t="s">
        <v>32</v>
      </c>
      <c r="J651" s="1"/>
      <c r="K651" t="s">
        <v>46</v>
      </c>
      <c r="L651" t="s">
        <v>143</v>
      </c>
    </row>
    <row r="652">
      <c r="B652" s="37">
        <v>45911</v>
      </c>
      <c r="C652" s="16">
        <v>27</v>
      </c>
      <c r="D652" s="1" t="s">
        <v>146</v>
      </c>
      <c r="E652" s="1" t="s">
        <v>139</v>
      </c>
      <c r="F652" s="16">
        <v>3</v>
      </c>
      <c r="G652" s="16" t="s">
        <v>30</v>
      </c>
      <c r="H652" s="16" t="s">
        <v>31</v>
      </c>
      <c r="I652" s="16" t="s">
        <v>32</v>
      </c>
      <c r="J652" s="1"/>
      <c r="K652" t="s">
        <v>46</v>
      </c>
      <c r="L652" t="s">
        <v>144</v>
      </c>
    </row>
    <row r="653">
      <c r="B653" s="24">
        <v>45918</v>
      </c>
      <c r="C653" s="16">
        <v>115</v>
      </c>
      <c r="D653" s="1" t="s">
        <v>146</v>
      </c>
      <c r="E653" s="1" t="s">
        <v>139</v>
      </c>
      <c r="F653" s="16">
        <v>3</v>
      </c>
      <c r="G653" s="16" t="s">
        <v>30</v>
      </c>
      <c r="H653" s="16" t="s">
        <v>31</v>
      </c>
      <c r="I653" s="16" t="s">
        <v>32</v>
      </c>
      <c r="J653" s="1"/>
      <c r="K653" t="s">
        <v>46</v>
      </c>
      <c r="L653" t="s">
        <v>140</v>
      </c>
    </row>
    <row r="654">
      <c r="B654" s="24">
        <v>45918</v>
      </c>
      <c r="C654" s="16">
        <v>97</v>
      </c>
      <c r="D654" s="1" t="s">
        <v>146</v>
      </c>
      <c r="E654" s="1" t="s">
        <v>139</v>
      </c>
      <c r="F654" s="16">
        <v>3</v>
      </c>
      <c r="G654" s="16" t="s">
        <v>30</v>
      </c>
      <c r="H654" s="16" t="s">
        <v>31</v>
      </c>
      <c r="I654" s="16" t="s">
        <v>32</v>
      </c>
      <c r="J654" s="1"/>
      <c r="K654" t="s">
        <v>46</v>
      </c>
      <c r="L654" t="s">
        <v>141</v>
      </c>
    </row>
    <row r="655">
      <c r="B655" s="24">
        <v>45918</v>
      </c>
      <c r="C655" s="16">
        <v>20</v>
      </c>
      <c r="D655" s="1" t="s">
        <v>146</v>
      </c>
      <c r="E655" s="1" t="s">
        <v>139</v>
      </c>
      <c r="F655" s="16">
        <v>3</v>
      </c>
      <c r="G655" s="16" t="s">
        <v>30</v>
      </c>
      <c r="H655" s="16" t="s">
        <v>31</v>
      </c>
      <c r="I655" s="16" t="s">
        <v>32</v>
      </c>
      <c r="J655" s="1"/>
      <c r="K655" t="s">
        <v>46</v>
      </c>
      <c r="L655" t="s">
        <v>143</v>
      </c>
    </row>
    <row r="656">
      <c r="B656" s="24">
        <v>45918</v>
      </c>
      <c r="C656" s="16">
        <v>70</v>
      </c>
      <c r="D656" s="1" t="s">
        <v>146</v>
      </c>
      <c r="E656" s="1" t="s">
        <v>139</v>
      </c>
      <c r="F656" s="16">
        <v>3</v>
      </c>
      <c r="G656" s="16" t="s">
        <v>30</v>
      </c>
      <c r="H656" s="16" t="s">
        <v>31</v>
      </c>
      <c r="I656" s="16" t="s">
        <v>32</v>
      </c>
      <c r="J656" s="1"/>
      <c r="K656" t="s">
        <v>46</v>
      </c>
      <c r="L656" t="s">
        <v>144</v>
      </c>
    </row>
    <row r="657">
      <c r="B657" s="24">
        <v>45925</v>
      </c>
      <c r="C657" s="16">
        <v>74</v>
      </c>
      <c r="D657" s="1" t="s">
        <v>146</v>
      </c>
      <c r="E657" s="1" t="s">
        <v>139</v>
      </c>
      <c r="F657" s="16">
        <v>3</v>
      </c>
      <c r="G657" s="16" t="s">
        <v>30</v>
      </c>
      <c r="H657" s="16" t="s">
        <v>31</v>
      </c>
      <c r="I657" s="16" t="s">
        <v>32</v>
      </c>
      <c r="J657" s="1"/>
      <c r="K657" t="s">
        <v>46</v>
      </c>
      <c r="L657" t="s">
        <v>140</v>
      </c>
    </row>
    <row r="658">
      <c r="B658" s="24">
        <v>45925</v>
      </c>
      <c r="C658" s="16">
        <v>75</v>
      </c>
      <c r="D658" s="1" t="s">
        <v>146</v>
      </c>
      <c r="E658" s="1" t="s">
        <v>139</v>
      </c>
      <c r="F658" s="16">
        <v>3</v>
      </c>
      <c r="G658" s="16" t="s">
        <v>30</v>
      </c>
      <c r="H658" s="16" t="s">
        <v>31</v>
      </c>
      <c r="I658" s="16" t="s">
        <v>32</v>
      </c>
      <c r="J658" s="1"/>
      <c r="K658" t="s">
        <v>46</v>
      </c>
      <c r="L658" t="s">
        <v>141</v>
      </c>
    </row>
    <row r="659">
      <c r="B659" s="24">
        <v>45925</v>
      </c>
      <c r="C659" s="16">
        <v>1</v>
      </c>
      <c r="D659" s="1" t="s">
        <v>146</v>
      </c>
      <c r="E659" s="1" t="s">
        <v>139</v>
      </c>
      <c r="F659" s="16">
        <v>3</v>
      </c>
      <c r="G659" s="16" t="s">
        <v>30</v>
      </c>
      <c r="H659" s="16" t="s">
        <v>31</v>
      </c>
      <c r="I659" s="16" t="s">
        <v>32</v>
      </c>
      <c r="J659" s="1"/>
      <c r="K659" t="s">
        <v>46</v>
      </c>
      <c r="L659" t="s">
        <v>142</v>
      </c>
    </row>
    <row r="660">
      <c r="B660" s="24">
        <v>45925</v>
      </c>
      <c r="C660" s="16">
        <v>24</v>
      </c>
      <c r="D660" s="1" t="s">
        <v>146</v>
      </c>
      <c r="E660" s="1" t="s">
        <v>139</v>
      </c>
      <c r="F660" s="16">
        <v>3</v>
      </c>
      <c r="G660" s="16" t="s">
        <v>30</v>
      </c>
      <c r="H660" s="16" t="s">
        <v>31</v>
      </c>
      <c r="I660" s="16" t="s">
        <v>32</v>
      </c>
      <c r="J660" s="1"/>
      <c r="K660" t="s">
        <v>46</v>
      </c>
      <c r="L660" t="s">
        <v>143</v>
      </c>
    </row>
    <row r="661">
      <c r="B661" s="24">
        <v>45925</v>
      </c>
      <c r="C661" s="16">
        <v>38</v>
      </c>
      <c r="D661" s="1" t="s">
        <v>146</v>
      </c>
      <c r="E661" s="1" t="s">
        <v>139</v>
      </c>
      <c r="F661" s="16">
        <v>3</v>
      </c>
      <c r="G661" s="16" t="s">
        <v>30</v>
      </c>
      <c r="H661" s="16" t="s">
        <v>31</v>
      </c>
      <c r="I661" s="16" t="s">
        <v>32</v>
      </c>
      <c r="J661" s="1"/>
      <c r="K661" t="s">
        <v>46</v>
      </c>
      <c r="L661" t="s">
        <v>144</v>
      </c>
    </row>
    <row r="662">
      <c r="B662" s="24">
        <v>45932</v>
      </c>
      <c r="C662" s="16">
        <v>88</v>
      </c>
      <c r="D662" s="1" t="s">
        <v>146</v>
      </c>
      <c r="E662" s="1" t="s">
        <v>139</v>
      </c>
      <c r="F662" s="16">
        <v>3</v>
      </c>
      <c r="G662" s="16" t="s">
        <v>30</v>
      </c>
      <c r="H662" s="16" t="s">
        <v>31</v>
      </c>
      <c r="I662" s="16" t="s">
        <v>32</v>
      </c>
      <c r="J662" s="1"/>
      <c r="K662" t="s">
        <v>46</v>
      </c>
      <c r="L662" t="s">
        <v>140</v>
      </c>
    </row>
    <row r="663">
      <c r="B663" s="24">
        <v>45932</v>
      </c>
      <c r="C663" s="16">
        <v>91</v>
      </c>
      <c r="D663" s="1" t="s">
        <v>146</v>
      </c>
      <c r="E663" s="1" t="s">
        <v>139</v>
      </c>
      <c r="F663" s="16">
        <v>3</v>
      </c>
      <c r="G663" s="16" t="s">
        <v>30</v>
      </c>
      <c r="H663" s="16" t="s">
        <v>31</v>
      </c>
      <c r="I663" s="16" t="s">
        <v>32</v>
      </c>
      <c r="J663" s="1"/>
      <c r="K663" t="s">
        <v>46</v>
      </c>
      <c r="L663" t="s">
        <v>141</v>
      </c>
    </row>
    <row r="664">
      <c r="B664" s="24">
        <v>45932</v>
      </c>
      <c r="C664" s="16">
        <v>34</v>
      </c>
      <c r="D664" s="1" t="s">
        <v>146</v>
      </c>
      <c r="E664" s="1" t="s">
        <v>139</v>
      </c>
      <c r="F664" s="16">
        <v>3</v>
      </c>
      <c r="G664" s="16" t="s">
        <v>30</v>
      </c>
      <c r="H664" s="16" t="s">
        <v>31</v>
      </c>
      <c r="I664" s="16" t="s">
        <v>32</v>
      </c>
      <c r="J664" s="1"/>
      <c r="K664" t="s">
        <v>46</v>
      </c>
      <c r="L664" t="s">
        <v>143</v>
      </c>
    </row>
    <row r="665">
      <c r="B665" s="24">
        <v>45932</v>
      </c>
      <c r="C665" s="16">
        <v>50</v>
      </c>
      <c r="D665" s="1" t="s">
        <v>146</v>
      </c>
      <c r="E665" s="1" t="s">
        <v>139</v>
      </c>
      <c r="F665" s="16">
        <v>3</v>
      </c>
      <c r="G665" s="16" t="s">
        <v>30</v>
      </c>
      <c r="H665" s="16" t="s">
        <v>31</v>
      </c>
      <c r="I665" s="16" t="s">
        <v>32</v>
      </c>
      <c r="J665" s="1"/>
      <c r="K665" t="s">
        <v>46</v>
      </c>
      <c r="L665" t="s">
        <v>144</v>
      </c>
    </row>
    <row r="666">
      <c r="B666" s="24">
        <v>45939</v>
      </c>
      <c r="C666" s="16">
        <v>70</v>
      </c>
      <c r="D666" s="1" t="s">
        <v>146</v>
      </c>
      <c r="E666" s="1" t="s">
        <v>139</v>
      </c>
      <c r="F666" s="16">
        <v>3</v>
      </c>
      <c r="G666" s="16" t="s">
        <v>30</v>
      </c>
      <c r="H666" s="16" t="s">
        <v>31</v>
      </c>
      <c r="I666" s="16" t="s">
        <v>32</v>
      </c>
      <c r="J666" s="1"/>
      <c r="K666" t="s">
        <v>46</v>
      </c>
      <c r="L666" t="s">
        <v>140</v>
      </c>
    </row>
    <row r="667">
      <c r="B667" s="24">
        <v>45939</v>
      </c>
      <c r="C667" s="16">
        <v>61</v>
      </c>
      <c r="D667" s="1" t="s">
        <v>146</v>
      </c>
      <c r="E667" s="1" t="s">
        <v>139</v>
      </c>
      <c r="F667" s="16">
        <v>3</v>
      </c>
      <c r="G667" s="16" t="s">
        <v>30</v>
      </c>
      <c r="H667" s="16" t="s">
        <v>31</v>
      </c>
      <c r="I667" s="16" t="s">
        <v>32</v>
      </c>
      <c r="J667" s="1"/>
      <c r="K667" t="s">
        <v>46</v>
      </c>
      <c r="L667" t="s">
        <v>141</v>
      </c>
    </row>
    <row r="668">
      <c r="B668" s="24">
        <v>45939</v>
      </c>
      <c r="C668" s="16">
        <v>1</v>
      </c>
      <c r="D668" s="1" t="s">
        <v>146</v>
      </c>
      <c r="E668" s="1" t="s">
        <v>139</v>
      </c>
      <c r="F668" s="16">
        <v>3</v>
      </c>
      <c r="G668" s="16" t="s">
        <v>30</v>
      </c>
      <c r="H668" s="16" t="s">
        <v>31</v>
      </c>
      <c r="I668" s="16" t="s">
        <v>32</v>
      </c>
      <c r="J668" s="1"/>
      <c r="K668" t="s">
        <v>46</v>
      </c>
      <c r="L668" t="s">
        <v>142</v>
      </c>
    </row>
    <row r="669">
      <c r="B669" s="24">
        <v>45939</v>
      </c>
      <c r="C669" s="16">
        <v>16</v>
      </c>
      <c r="D669" s="1" t="s">
        <v>146</v>
      </c>
      <c r="E669" s="1" t="s">
        <v>139</v>
      </c>
      <c r="F669" s="16">
        <v>3</v>
      </c>
      <c r="G669" s="16" t="s">
        <v>30</v>
      </c>
      <c r="H669" s="16" t="s">
        <v>31</v>
      </c>
      <c r="I669" s="16" t="s">
        <v>32</v>
      </c>
      <c r="J669" s="1"/>
      <c r="K669" t="s">
        <v>46</v>
      </c>
      <c r="L669" t="s">
        <v>143</v>
      </c>
    </row>
    <row r="670">
      <c r="B670" s="24">
        <v>45939</v>
      </c>
      <c r="C670" s="16">
        <v>31</v>
      </c>
      <c r="D670" s="1" t="s">
        <v>146</v>
      </c>
      <c r="E670" s="1" t="s">
        <v>139</v>
      </c>
      <c r="F670" s="16">
        <v>3</v>
      </c>
      <c r="G670" s="16" t="s">
        <v>30</v>
      </c>
      <c r="H670" s="16" t="s">
        <v>31</v>
      </c>
      <c r="I670" s="16" t="s">
        <v>32</v>
      </c>
      <c r="J670" s="1"/>
      <c r="K670" t="s">
        <v>46</v>
      </c>
      <c r="L670" t="s">
        <v>144</v>
      </c>
    </row>
    <row r="671">
      <c r="B671" s="24">
        <v>45946</v>
      </c>
      <c r="C671" s="16">
        <v>78</v>
      </c>
      <c r="D671" s="1" t="s">
        <v>146</v>
      </c>
      <c r="E671" s="1" t="s">
        <v>139</v>
      </c>
      <c r="F671" s="16">
        <v>3</v>
      </c>
      <c r="G671" s="16" t="s">
        <v>30</v>
      </c>
      <c r="H671" s="16" t="s">
        <v>31</v>
      </c>
      <c r="I671" s="16" t="s">
        <v>32</v>
      </c>
      <c r="J671" s="1"/>
      <c r="K671" t="s">
        <v>46</v>
      </c>
      <c r="L671" t="s">
        <v>140</v>
      </c>
    </row>
    <row r="672">
      <c r="B672" s="24">
        <v>45946</v>
      </c>
      <c r="C672" s="16">
        <v>69</v>
      </c>
      <c r="D672" s="1" t="s">
        <v>146</v>
      </c>
      <c r="E672" s="1" t="s">
        <v>139</v>
      </c>
      <c r="F672" s="16">
        <v>3</v>
      </c>
      <c r="G672" s="16" t="s">
        <v>30</v>
      </c>
      <c r="H672" s="16" t="s">
        <v>31</v>
      </c>
      <c r="I672" s="16" t="s">
        <v>32</v>
      </c>
      <c r="J672" s="1"/>
      <c r="K672" t="s">
        <v>46</v>
      </c>
      <c r="L672" t="s">
        <v>141</v>
      </c>
    </row>
    <row r="673">
      <c r="B673" s="24">
        <v>45946</v>
      </c>
      <c r="C673" s="16">
        <v>7</v>
      </c>
      <c r="D673" s="1" t="s">
        <v>146</v>
      </c>
      <c r="E673" s="1" t="s">
        <v>139</v>
      </c>
      <c r="F673" s="16">
        <v>3</v>
      </c>
      <c r="G673" s="16" t="s">
        <v>30</v>
      </c>
      <c r="H673" s="16" t="s">
        <v>31</v>
      </c>
      <c r="I673" s="16" t="s">
        <v>32</v>
      </c>
      <c r="J673" s="1"/>
      <c r="K673" t="s">
        <v>46</v>
      </c>
      <c r="L673" t="s">
        <v>142</v>
      </c>
    </row>
    <row r="674">
      <c r="B674" s="24">
        <v>45946</v>
      </c>
      <c r="C674" s="16">
        <v>14</v>
      </c>
      <c r="D674" s="1" t="s">
        <v>146</v>
      </c>
      <c r="E674" s="1" t="s">
        <v>139</v>
      </c>
      <c r="F674" s="16">
        <v>3</v>
      </c>
      <c r="G674" s="16" t="s">
        <v>30</v>
      </c>
      <c r="H674" s="16" t="s">
        <v>31</v>
      </c>
      <c r="I674" s="16" t="s">
        <v>32</v>
      </c>
      <c r="J674" s="1"/>
      <c r="K674" t="s">
        <v>46</v>
      </c>
      <c r="L674" t="s">
        <v>143</v>
      </c>
    </row>
    <row r="675">
      <c r="B675" s="24">
        <v>45946</v>
      </c>
      <c r="C675" s="16">
        <v>36</v>
      </c>
      <c r="D675" s="1" t="s">
        <v>146</v>
      </c>
      <c r="E675" s="1" t="s">
        <v>139</v>
      </c>
      <c r="F675" s="16">
        <v>3</v>
      </c>
      <c r="G675" s="16" t="s">
        <v>30</v>
      </c>
      <c r="H675" s="16" t="s">
        <v>31</v>
      </c>
      <c r="I675" s="16" t="s">
        <v>32</v>
      </c>
      <c r="J675" s="1"/>
      <c r="K675" t="s">
        <v>46</v>
      </c>
      <c r="L675" t="s">
        <v>144</v>
      </c>
    </row>
    <row r="676">
      <c r="B676" s="24">
        <v>45953</v>
      </c>
      <c r="C676" s="16">
        <v>85</v>
      </c>
      <c r="D676" s="1" t="s">
        <v>146</v>
      </c>
      <c r="E676" s="1" t="s">
        <v>139</v>
      </c>
      <c r="F676" s="16">
        <v>3</v>
      </c>
      <c r="G676" s="16" t="s">
        <v>30</v>
      </c>
      <c r="H676" s="16" t="s">
        <v>31</v>
      </c>
      <c r="I676" s="16" t="s">
        <v>32</v>
      </c>
      <c r="J676" s="1"/>
      <c r="K676" t="s">
        <v>46</v>
      </c>
      <c r="L676" t="s">
        <v>140</v>
      </c>
    </row>
    <row r="677">
      <c r="B677" s="24">
        <v>45953</v>
      </c>
      <c r="C677" s="16">
        <v>92</v>
      </c>
      <c r="D677" s="1" t="s">
        <v>146</v>
      </c>
      <c r="E677" s="1" t="s">
        <v>139</v>
      </c>
      <c r="F677" s="16">
        <v>3</v>
      </c>
      <c r="G677" s="16" t="s">
        <v>30</v>
      </c>
      <c r="H677" s="16" t="s">
        <v>31</v>
      </c>
      <c r="I677" s="16" t="s">
        <v>32</v>
      </c>
      <c r="J677" s="1"/>
      <c r="K677" t="s">
        <v>46</v>
      </c>
      <c r="L677" t="s">
        <v>141</v>
      </c>
    </row>
    <row r="678">
      <c r="B678" s="24">
        <v>45953</v>
      </c>
      <c r="C678" s="16">
        <v>2</v>
      </c>
      <c r="D678" s="1" t="s">
        <v>146</v>
      </c>
      <c r="E678" s="1" t="s">
        <v>139</v>
      </c>
      <c r="F678" s="16">
        <v>3</v>
      </c>
      <c r="G678" s="16" t="s">
        <v>30</v>
      </c>
      <c r="H678" s="16" t="s">
        <v>31</v>
      </c>
      <c r="I678" s="16" t="s">
        <v>32</v>
      </c>
      <c r="J678" s="1"/>
      <c r="K678" t="s">
        <v>46</v>
      </c>
      <c r="L678" t="s">
        <v>142</v>
      </c>
    </row>
    <row r="679">
      <c r="B679" s="24">
        <v>45953</v>
      </c>
      <c r="C679" s="16">
        <v>23</v>
      </c>
      <c r="D679" s="1" t="s">
        <v>146</v>
      </c>
      <c r="E679" s="1" t="s">
        <v>139</v>
      </c>
      <c r="F679" s="16">
        <v>3</v>
      </c>
      <c r="G679" s="16" t="s">
        <v>30</v>
      </c>
      <c r="H679" s="16" t="s">
        <v>31</v>
      </c>
      <c r="I679" s="16" t="s">
        <v>32</v>
      </c>
      <c r="J679" s="1"/>
      <c r="K679" t="s">
        <v>46</v>
      </c>
      <c r="L679" t="s">
        <v>143</v>
      </c>
    </row>
    <row r="680">
      <c r="B680" s="24">
        <v>45953</v>
      </c>
      <c r="C680" s="16">
        <v>47</v>
      </c>
      <c r="D680" s="1" t="s">
        <v>146</v>
      </c>
      <c r="E680" s="1" t="s">
        <v>139</v>
      </c>
      <c r="F680" s="16">
        <v>3</v>
      </c>
      <c r="G680" s="16" t="s">
        <v>30</v>
      </c>
      <c r="H680" s="16" t="s">
        <v>31</v>
      </c>
      <c r="I680" s="16" t="s">
        <v>32</v>
      </c>
      <c r="J680" s="1"/>
      <c r="K680" t="s">
        <v>46</v>
      </c>
      <c r="L680" t="s">
        <v>144</v>
      </c>
    </row>
    <row r="681">
      <c r="B681" s="24">
        <v>45960</v>
      </c>
      <c r="C681" s="16">
        <v>63</v>
      </c>
      <c r="D681" s="1" t="s">
        <v>146</v>
      </c>
      <c r="E681" s="1" t="s">
        <v>139</v>
      </c>
      <c r="F681" s="16">
        <v>3</v>
      </c>
      <c r="G681" s="16" t="s">
        <v>30</v>
      </c>
      <c r="H681" s="16" t="s">
        <v>31</v>
      </c>
      <c r="I681" s="16" t="s">
        <v>32</v>
      </c>
      <c r="J681" s="1"/>
      <c r="K681" t="s">
        <v>46</v>
      </c>
      <c r="L681" t="s">
        <v>140</v>
      </c>
    </row>
    <row r="682">
      <c r="B682" s="24">
        <v>45960</v>
      </c>
      <c r="C682" s="16">
        <v>59</v>
      </c>
      <c r="D682" s="1" t="s">
        <v>146</v>
      </c>
      <c r="E682" s="1" t="s">
        <v>139</v>
      </c>
      <c r="F682" s="16">
        <v>3</v>
      </c>
      <c r="G682" s="16" t="s">
        <v>30</v>
      </c>
      <c r="H682" s="16" t="s">
        <v>31</v>
      </c>
      <c r="I682" s="16" t="s">
        <v>32</v>
      </c>
      <c r="J682" s="1"/>
      <c r="K682" t="s">
        <v>46</v>
      </c>
      <c r="L682" t="s">
        <v>141</v>
      </c>
    </row>
    <row r="683">
      <c r="B683" s="24">
        <v>45960</v>
      </c>
      <c r="C683" s="16">
        <v>1</v>
      </c>
      <c r="D683" s="1" t="s">
        <v>146</v>
      </c>
      <c r="E683" s="1" t="s">
        <v>139</v>
      </c>
      <c r="F683" s="16">
        <v>3</v>
      </c>
      <c r="G683" s="16" t="s">
        <v>30</v>
      </c>
      <c r="H683" s="16" t="s">
        <v>31</v>
      </c>
      <c r="I683" s="16" t="s">
        <v>32</v>
      </c>
      <c r="J683" s="1"/>
      <c r="K683" t="s">
        <v>46</v>
      </c>
      <c r="L683" t="s">
        <v>142</v>
      </c>
    </row>
    <row r="684">
      <c r="B684" s="24">
        <v>45960</v>
      </c>
      <c r="C684" s="16">
        <v>19</v>
      </c>
      <c r="D684" s="1" t="s">
        <v>146</v>
      </c>
      <c r="E684" s="1" t="s">
        <v>139</v>
      </c>
      <c r="F684" s="16">
        <v>3</v>
      </c>
      <c r="G684" s="16" t="s">
        <v>30</v>
      </c>
      <c r="H684" s="16" t="s">
        <v>31</v>
      </c>
      <c r="I684" s="16" t="s">
        <v>32</v>
      </c>
      <c r="J684" s="1"/>
      <c r="K684" t="s">
        <v>46</v>
      </c>
      <c r="L684" t="s">
        <v>143</v>
      </c>
    </row>
    <row r="685">
      <c r="B685" s="24">
        <v>45960</v>
      </c>
      <c r="C685" s="16">
        <v>34</v>
      </c>
      <c r="D685" s="1" t="s">
        <v>146</v>
      </c>
      <c r="E685" s="1" t="s">
        <v>139</v>
      </c>
      <c r="F685" s="16">
        <v>3</v>
      </c>
      <c r="G685" s="16" t="s">
        <v>30</v>
      </c>
      <c r="H685" s="16" t="s">
        <v>31</v>
      </c>
      <c r="I685" s="16" t="s">
        <v>32</v>
      </c>
      <c r="J685" s="1"/>
      <c r="K685" t="s">
        <v>46</v>
      </c>
      <c r="L685" t="s">
        <v>144</v>
      </c>
    </row>
    <row r="686">
      <c r="B686" s="24">
        <v>45967</v>
      </c>
      <c r="C686" s="16">
        <v>62</v>
      </c>
      <c r="D686" s="1" t="s">
        <v>146</v>
      </c>
      <c r="E686" s="1" t="s">
        <v>139</v>
      </c>
      <c r="F686" s="16">
        <v>3</v>
      </c>
      <c r="G686" s="16" t="s">
        <v>30</v>
      </c>
      <c r="H686" s="16" t="s">
        <v>31</v>
      </c>
      <c r="I686" s="16" t="s">
        <v>32</v>
      </c>
      <c r="J686" s="1"/>
      <c r="K686" t="s">
        <v>46</v>
      </c>
      <c r="L686" t="s">
        <v>140</v>
      </c>
    </row>
    <row r="687">
      <c r="B687" s="24">
        <v>45967</v>
      </c>
      <c r="C687" s="16">
        <v>66</v>
      </c>
      <c r="D687" s="1" t="s">
        <v>146</v>
      </c>
      <c r="E687" s="1" t="s">
        <v>139</v>
      </c>
      <c r="F687" s="16">
        <v>3</v>
      </c>
      <c r="G687" s="16" t="s">
        <v>30</v>
      </c>
      <c r="H687" s="16" t="s">
        <v>31</v>
      </c>
      <c r="I687" s="16" t="s">
        <v>32</v>
      </c>
      <c r="J687" s="1"/>
      <c r="K687" t="s">
        <v>46</v>
      </c>
      <c r="L687" t="s">
        <v>141</v>
      </c>
    </row>
    <row r="688">
      <c r="B688" s="24">
        <v>45967</v>
      </c>
      <c r="C688" s="16">
        <v>2</v>
      </c>
      <c r="D688" s="1" t="s">
        <v>146</v>
      </c>
      <c r="E688" s="1" t="s">
        <v>139</v>
      </c>
      <c r="F688" s="16">
        <v>3</v>
      </c>
      <c r="G688" s="16" t="s">
        <v>30</v>
      </c>
      <c r="H688" s="16" t="s">
        <v>31</v>
      </c>
      <c r="I688" s="16" t="s">
        <v>32</v>
      </c>
      <c r="J688" s="1"/>
      <c r="K688" t="s">
        <v>46</v>
      </c>
      <c r="L688" t="s">
        <v>142</v>
      </c>
    </row>
    <row r="689">
      <c r="B689" s="24">
        <v>45967</v>
      </c>
      <c r="C689" s="16">
        <v>15</v>
      </c>
      <c r="D689" s="1" t="s">
        <v>146</v>
      </c>
      <c r="E689" s="1" t="s">
        <v>139</v>
      </c>
      <c r="F689" s="16">
        <v>3</v>
      </c>
      <c r="G689" s="16" t="s">
        <v>30</v>
      </c>
      <c r="H689" s="16" t="s">
        <v>31</v>
      </c>
      <c r="I689" s="16" t="s">
        <v>32</v>
      </c>
      <c r="J689" s="1"/>
      <c r="K689" t="s">
        <v>46</v>
      </c>
      <c r="L689" t="s">
        <v>143</v>
      </c>
    </row>
    <row r="690">
      <c r="B690" s="24">
        <v>45967</v>
      </c>
      <c r="C690" s="16">
        <v>38</v>
      </c>
      <c r="D690" s="1" t="s">
        <v>146</v>
      </c>
      <c r="E690" s="1" t="s">
        <v>139</v>
      </c>
      <c r="F690" s="16">
        <v>3</v>
      </c>
      <c r="G690" s="16" t="s">
        <v>30</v>
      </c>
      <c r="H690" s="16" t="s">
        <v>31</v>
      </c>
      <c r="I690" s="16" t="s">
        <v>32</v>
      </c>
      <c r="J690" s="1"/>
      <c r="K690" t="s">
        <v>46</v>
      </c>
      <c r="L690" t="s">
        <v>144</v>
      </c>
    </row>
    <row r="691">
      <c r="B691" s="24">
        <v>45974</v>
      </c>
      <c r="C691" s="16">
        <v>53</v>
      </c>
      <c r="D691" s="1" t="s">
        <v>146</v>
      </c>
      <c r="E691" s="1" t="s">
        <v>139</v>
      </c>
      <c r="F691" s="16">
        <v>3</v>
      </c>
      <c r="G691" s="16" t="s">
        <v>30</v>
      </c>
      <c r="H691" s="16" t="s">
        <v>31</v>
      </c>
      <c r="I691" s="16" t="s">
        <v>32</v>
      </c>
      <c r="J691" s="1"/>
      <c r="K691" t="s">
        <v>46</v>
      </c>
      <c r="L691" t="s">
        <v>140</v>
      </c>
    </row>
    <row r="692">
      <c r="B692" s="24">
        <v>45974</v>
      </c>
      <c r="C692" s="16">
        <v>47</v>
      </c>
      <c r="D692" s="1" t="s">
        <v>146</v>
      </c>
      <c r="E692" s="1" t="s">
        <v>139</v>
      </c>
      <c r="F692" s="16">
        <v>3</v>
      </c>
      <c r="G692" s="16" t="s">
        <v>30</v>
      </c>
      <c r="H692" s="16" t="s">
        <v>31</v>
      </c>
      <c r="I692" s="16" t="s">
        <v>32</v>
      </c>
      <c r="J692" s="1"/>
      <c r="K692" t="s">
        <v>46</v>
      </c>
      <c r="L692" t="s">
        <v>141</v>
      </c>
    </row>
    <row r="693">
      <c r="B693" s="24">
        <v>45974</v>
      </c>
      <c r="C693" s="16">
        <v>3</v>
      </c>
      <c r="D693" s="1" t="s">
        <v>146</v>
      </c>
      <c r="E693" s="1" t="s">
        <v>139</v>
      </c>
      <c r="F693" s="16">
        <v>3</v>
      </c>
      <c r="G693" s="16" t="s">
        <v>30</v>
      </c>
      <c r="H693" s="16" t="s">
        <v>31</v>
      </c>
      <c r="I693" s="16" t="s">
        <v>32</v>
      </c>
      <c r="J693" s="1"/>
      <c r="K693" t="s">
        <v>46</v>
      </c>
      <c r="L693" t="s">
        <v>142</v>
      </c>
    </row>
    <row r="694">
      <c r="B694" s="24">
        <v>45974</v>
      </c>
      <c r="C694" s="16">
        <v>11</v>
      </c>
      <c r="D694" s="1" t="s">
        <v>146</v>
      </c>
      <c r="E694" s="1" t="s">
        <v>139</v>
      </c>
      <c r="F694" s="16">
        <v>3</v>
      </c>
      <c r="G694" s="16" t="s">
        <v>30</v>
      </c>
      <c r="H694" s="16" t="s">
        <v>31</v>
      </c>
      <c r="I694" s="16" t="s">
        <v>32</v>
      </c>
      <c r="J694" s="1"/>
      <c r="K694" t="s">
        <v>46</v>
      </c>
      <c r="L694" t="s">
        <v>143</v>
      </c>
    </row>
    <row r="695">
      <c r="B695" s="24">
        <v>45974</v>
      </c>
      <c r="C695" s="16">
        <v>28</v>
      </c>
      <c r="D695" s="1" t="s">
        <v>146</v>
      </c>
      <c r="E695" s="1" t="s">
        <v>139</v>
      </c>
      <c r="F695" s="16">
        <v>3</v>
      </c>
      <c r="G695" s="16" t="s">
        <v>30</v>
      </c>
      <c r="H695" s="16" t="s">
        <v>31</v>
      </c>
      <c r="I695" s="16" t="s">
        <v>32</v>
      </c>
      <c r="J695" s="1"/>
      <c r="K695" t="s">
        <v>46</v>
      </c>
      <c r="L695" t="s">
        <v>144</v>
      </c>
    </row>
    <row r="696">
      <c r="B696" s="24">
        <v>45981</v>
      </c>
      <c r="C696" s="16">
        <v>1</v>
      </c>
      <c r="D696" s="1" t="s">
        <v>146</v>
      </c>
      <c r="E696" s="1" t="s">
        <v>139</v>
      </c>
      <c r="F696" s="16">
        <v>3</v>
      </c>
      <c r="G696" s="16" t="s">
        <v>30</v>
      </c>
      <c r="H696" s="16" t="s">
        <v>31</v>
      </c>
      <c r="I696" s="16" t="s">
        <v>32</v>
      </c>
      <c r="J696" s="1"/>
      <c r="K696" t="s">
        <v>46</v>
      </c>
      <c r="L696" t="s">
        <v>145</v>
      </c>
    </row>
    <row r="697">
      <c r="B697" s="24">
        <v>45981</v>
      </c>
      <c r="C697" s="16">
        <v>106</v>
      </c>
      <c r="D697" s="1" t="s">
        <v>146</v>
      </c>
      <c r="E697" s="1" t="s">
        <v>139</v>
      </c>
      <c r="F697" s="16">
        <v>3</v>
      </c>
      <c r="G697" s="16" t="s">
        <v>30</v>
      </c>
      <c r="H697" s="16" t="s">
        <v>31</v>
      </c>
      <c r="I697" s="16" t="s">
        <v>32</v>
      </c>
      <c r="J697" s="1"/>
      <c r="K697" t="s">
        <v>46</v>
      </c>
      <c r="L697" t="s">
        <v>140</v>
      </c>
    </row>
    <row r="698">
      <c r="B698" s="24">
        <v>45981</v>
      </c>
      <c r="C698" s="16">
        <v>84</v>
      </c>
      <c r="D698" s="1" t="s">
        <v>146</v>
      </c>
      <c r="E698" s="1" t="s">
        <v>139</v>
      </c>
      <c r="F698" s="16">
        <v>3</v>
      </c>
      <c r="G698" s="16" t="s">
        <v>30</v>
      </c>
      <c r="H698" s="16" t="s">
        <v>31</v>
      </c>
      <c r="I698" s="16" t="s">
        <v>32</v>
      </c>
      <c r="J698" s="1"/>
      <c r="K698" t="s">
        <v>46</v>
      </c>
      <c r="L698" t="s">
        <v>141</v>
      </c>
    </row>
    <row r="699">
      <c r="B699" s="24">
        <v>45981</v>
      </c>
      <c r="C699" s="16">
        <v>5</v>
      </c>
      <c r="D699" s="1" t="s">
        <v>146</v>
      </c>
      <c r="E699" s="1" t="s">
        <v>139</v>
      </c>
      <c r="F699" s="16">
        <v>3</v>
      </c>
      <c r="G699" s="16" t="s">
        <v>30</v>
      </c>
      <c r="H699" s="16" t="s">
        <v>31</v>
      </c>
      <c r="I699" s="16" t="s">
        <v>32</v>
      </c>
      <c r="J699" s="1"/>
      <c r="K699" t="s">
        <v>46</v>
      </c>
      <c r="L699" t="s">
        <v>142</v>
      </c>
    </row>
    <row r="700">
      <c r="B700" s="24">
        <v>45981</v>
      </c>
      <c r="C700" s="16">
        <v>31</v>
      </c>
      <c r="D700" s="1" t="s">
        <v>146</v>
      </c>
      <c r="E700" s="1" t="s">
        <v>139</v>
      </c>
      <c r="F700" s="16">
        <v>3</v>
      </c>
      <c r="G700" s="16" t="s">
        <v>30</v>
      </c>
      <c r="H700" s="16" t="s">
        <v>31</v>
      </c>
      <c r="I700" s="16" t="s">
        <v>32</v>
      </c>
      <c r="J700" s="1"/>
      <c r="K700" t="s">
        <v>46</v>
      </c>
      <c r="L700" t="s">
        <v>143</v>
      </c>
    </row>
    <row r="701">
      <c r="B701" s="24">
        <v>45981</v>
      </c>
      <c r="C701" s="16">
        <v>45</v>
      </c>
      <c r="D701" s="1" t="s">
        <v>146</v>
      </c>
      <c r="E701" s="1" t="s">
        <v>139</v>
      </c>
      <c r="F701" s="16">
        <v>3</v>
      </c>
      <c r="G701" s="16" t="s">
        <v>30</v>
      </c>
      <c r="H701" s="16" t="s">
        <v>31</v>
      </c>
      <c r="I701" s="16" t="s">
        <v>32</v>
      </c>
      <c r="J701" s="1"/>
      <c r="K701" t="s">
        <v>46</v>
      </c>
      <c r="L701" t="s">
        <v>144</v>
      </c>
    </row>
    <row r="702">
      <c r="B702" s="24">
        <v>45988</v>
      </c>
      <c r="C702" s="16">
        <v>84</v>
      </c>
      <c r="D702" s="1" t="s">
        <v>146</v>
      </c>
      <c r="E702" s="1" t="s">
        <v>139</v>
      </c>
      <c r="F702" s="16">
        <v>3</v>
      </c>
      <c r="G702" s="16" t="s">
        <v>30</v>
      </c>
      <c r="H702" s="16" t="s">
        <v>31</v>
      </c>
      <c r="I702" s="16" t="s">
        <v>32</v>
      </c>
      <c r="J702" s="1"/>
      <c r="K702" t="s">
        <v>46</v>
      </c>
      <c r="L702" t="s">
        <v>140</v>
      </c>
    </row>
    <row r="703">
      <c r="B703" s="24">
        <v>45988</v>
      </c>
      <c r="C703" s="16">
        <v>75</v>
      </c>
      <c r="D703" s="1" t="s">
        <v>146</v>
      </c>
      <c r="E703" s="1" t="s">
        <v>139</v>
      </c>
      <c r="F703" s="16">
        <v>3</v>
      </c>
      <c r="G703" s="16" t="s">
        <v>30</v>
      </c>
      <c r="H703" s="16" t="s">
        <v>31</v>
      </c>
      <c r="I703" s="16" t="s">
        <v>32</v>
      </c>
      <c r="J703" s="1"/>
      <c r="K703" t="s">
        <v>46</v>
      </c>
      <c r="L703" t="s">
        <v>141</v>
      </c>
    </row>
    <row r="704">
      <c r="B704" s="24">
        <v>45988</v>
      </c>
      <c r="C704" s="16">
        <v>4</v>
      </c>
      <c r="D704" s="1" t="s">
        <v>146</v>
      </c>
      <c r="E704" s="1" t="s">
        <v>139</v>
      </c>
      <c r="F704" s="16">
        <v>3</v>
      </c>
      <c r="G704" s="16" t="s">
        <v>30</v>
      </c>
      <c r="H704" s="16" t="s">
        <v>31</v>
      </c>
      <c r="I704" s="16" t="s">
        <v>32</v>
      </c>
      <c r="J704" s="1"/>
      <c r="K704" t="s">
        <v>46</v>
      </c>
      <c r="L704" t="s">
        <v>142</v>
      </c>
    </row>
    <row r="705">
      <c r="B705" s="24">
        <v>45988</v>
      </c>
      <c r="C705" s="16">
        <v>15</v>
      </c>
      <c r="D705" s="1" t="s">
        <v>146</v>
      </c>
      <c r="E705" s="1" t="s">
        <v>139</v>
      </c>
      <c r="F705" s="16">
        <v>3</v>
      </c>
      <c r="G705" s="16" t="s">
        <v>30</v>
      </c>
      <c r="H705" s="16" t="s">
        <v>31</v>
      </c>
      <c r="I705" s="16" t="s">
        <v>32</v>
      </c>
      <c r="J705" s="1"/>
      <c r="K705" t="s">
        <v>46</v>
      </c>
      <c r="L705" t="s">
        <v>143</v>
      </c>
    </row>
    <row r="706">
      <c r="B706" s="24">
        <v>45988</v>
      </c>
      <c r="C706" s="16">
        <v>57</v>
      </c>
      <c r="D706" s="1" t="s">
        <v>146</v>
      </c>
      <c r="E706" s="1" t="s">
        <v>139</v>
      </c>
      <c r="F706" s="16">
        <v>3</v>
      </c>
      <c r="G706" s="16" t="s">
        <v>30</v>
      </c>
      <c r="H706" s="16" t="s">
        <v>31</v>
      </c>
      <c r="I706" s="16" t="s">
        <v>32</v>
      </c>
      <c r="J706" s="1"/>
      <c r="K706" t="s">
        <v>46</v>
      </c>
      <c r="L706" t="s">
        <v>144</v>
      </c>
    </row>
    <row r="707">
      <c r="B707" s="24">
        <v>45995</v>
      </c>
      <c r="C707" s="16">
        <v>130</v>
      </c>
      <c r="D707" s="1" t="s">
        <v>146</v>
      </c>
      <c r="E707" s="1" t="s">
        <v>139</v>
      </c>
      <c r="F707" s="16">
        <v>3</v>
      </c>
      <c r="G707" s="16" t="s">
        <v>30</v>
      </c>
      <c r="H707" s="16" t="s">
        <v>31</v>
      </c>
      <c r="I707" s="16" t="s">
        <v>32</v>
      </c>
      <c r="J707" s="1"/>
      <c r="K707" t="s">
        <v>46</v>
      </c>
      <c r="L707" t="s">
        <v>140</v>
      </c>
    </row>
    <row r="708">
      <c r="B708" s="24">
        <v>45995</v>
      </c>
      <c r="C708" s="16">
        <v>101</v>
      </c>
      <c r="D708" s="1" t="s">
        <v>146</v>
      </c>
      <c r="E708" s="1" t="s">
        <v>139</v>
      </c>
      <c r="F708" s="16">
        <v>3</v>
      </c>
      <c r="G708" s="16" t="s">
        <v>30</v>
      </c>
      <c r="H708" s="16" t="s">
        <v>31</v>
      </c>
      <c r="I708" s="16" t="s">
        <v>32</v>
      </c>
      <c r="J708" s="1"/>
      <c r="K708" t="s">
        <v>46</v>
      </c>
      <c r="L708" t="s">
        <v>141</v>
      </c>
    </row>
    <row r="709">
      <c r="B709" s="24">
        <v>45995</v>
      </c>
      <c r="C709" s="16">
        <v>6</v>
      </c>
      <c r="D709" s="1" t="s">
        <v>146</v>
      </c>
      <c r="E709" s="1" t="s">
        <v>139</v>
      </c>
      <c r="F709" s="16">
        <v>3</v>
      </c>
      <c r="G709" s="16" t="s">
        <v>30</v>
      </c>
      <c r="H709" s="16" t="s">
        <v>31</v>
      </c>
      <c r="I709" s="16" t="s">
        <v>32</v>
      </c>
      <c r="J709" s="1"/>
      <c r="K709" t="s">
        <v>46</v>
      </c>
      <c r="L709" t="s">
        <v>142</v>
      </c>
    </row>
    <row r="710">
      <c r="B710" s="24">
        <v>45995</v>
      </c>
      <c r="C710" s="16">
        <v>37</v>
      </c>
      <c r="D710" s="1" t="s">
        <v>146</v>
      </c>
      <c r="E710" s="1" t="s">
        <v>139</v>
      </c>
      <c r="F710" s="16">
        <v>3</v>
      </c>
      <c r="G710" s="16" t="s">
        <v>30</v>
      </c>
      <c r="H710" s="16" t="s">
        <v>31</v>
      </c>
      <c r="I710" s="16" t="s">
        <v>32</v>
      </c>
      <c r="J710" s="1"/>
      <c r="K710" t="s">
        <v>46</v>
      </c>
      <c r="L710" t="s">
        <v>143</v>
      </c>
    </row>
    <row r="711">
      <c r="B711" s="24">
        <v>45995</v>
      </c>
      <c r="C711" s="16">
        <v>56</v>
      </c>
      <c r="D711" s="1" t="s">
        <v>146</v>
      </c>
      <c r="E711" s="1" t="s">
        <v>139</v>
      </c>
      <c r="F711" s="16">
        <v>3</v>
      </c>
      <c r="G711" s="16" t="s">
        <v>30</v>
      </c>
      <c r="H711" s="16" t="s">
        <v>31</v>
      </c>
      <c r="I711" s="16" t="s">
        <v>32</v>
      </c>
      <c r="J711" s="1"/>
      <c r="K711" t="s">
        <v>46</v>
      </c>
      <c r="L711" t="s">
        <v>144</v>
      </c>
    </row>
    <row r="712">
      <c r="B712" s="24">
        <v>46002</v>
      </c>
      <c r="C712" s="16">
        <v>81</v>
      </c>
      <c r="D712" s="1" t="s">
        <v>146</v>
      </c>
      <c r="E712" s="1" t="s">
        <v>139</v>
      </c>
      <c r="F712" s="16">
        <v>3</v>
      </c>
      <c r="G712" s="16" t="s">
        <v>30</v>
      </c>
      <c r="H712" s="16" t="s">
        <v>31</v>
      </c>
      <c r="I712" s="16" t="s">
        <v>32</v>
      </c>
      <c r="J712" s="1"/>
      <c r="K712" t="s">
        <v>46</v>
      </c>
      <c r="L712" t="s">
        <v>140</v>
      </c>
    </row>
    <row r="713">
      <c r="B713" s="24">
        <v>46002</v>
      </c>
      <c r="C713" s="16">
        <v>81</v>
      </c>
      <c r="D713" s="1" t="s">
        <v>146</v>
      </c>
      <c r="E713" s="1" t="s">
        <v>139</v>
      </c>
      <c r="F713" s="16">
        <v>3</v>
      </c>
      <c r="G713" s="16" t="s">
        <v>30</v>
      </c>
      <c r="H713" s="16" t="s">
        <v>31</v>
      </c>
      <c r="I713" s="16" t="s">
        <v>32</v>
      </c>
      <c r="J713" s="1"/>
      <c r="K713" t="s">
        <v>46</v>
      </c>
      <c r="L713" t="s">
        <v>141</v>
      </c>
    </row>
    <row r="714">
      <c r="B714" s="24">
        <v>46002</v>
      </c>
      <c r="C714" s="16">
        <v>2</v>
      </c>
      <c r="D714" s="1" t="s">
        <v>146</v>
      </c>
      <c r="E714" s="1" t="s">
        <v>139</v>
      </c>
      <c r="F714" s="16">
        <v>3</v>
      </c>
      <c r="G714" s="16" t="s">
        <v>30</v>
      </c>
      <c r="H714" s="16" t="s">
        <v>31</v>
      </c>
      <c r="I714" s="16" t="s">
        <v>32</v>
      </c>
      <c r="J714" s="1"/>
      <c r="K714" t="s">
        <v>46</v>
      </c>
      <c r="L714" t="s">
        <v>142</v>
      </c>
    </row>
    <row r="715">
      <c r="B715" s="24">
        <v>46002</v>
      </c>
      <c r="C715" s="16">
        <v>17</v>
      </c>
      <c r="D715" s="1" t="s">
        <v>146</v>
      </c>
      <c r="E715" s="1" t="s">
        <v>139</v>
      </c>
      <c r="F715" s="16">
        <v>3</v>
      </c>
      <c r="G715" s="16" t="s">
        <v>30</v>
      </c>
      <c r="H715" s="16" t="s">
        <v>31</v>
      </c>
      <c r="I715" s="16" t="s">
        <v>32</v>
      </c>
      <c r="J715" s="1"/>
      <c r="K715" t="s">
        <v>46</v>
      </c>
      <c r="L715" t="s">
        <v>143</v>
      </c>
    </row>
    <row r="716">
      <c r="B716" s="24">
        <v>46002</v>
      </c>
      <c r="C716" s="16">
        <v>48</v>
      </c>
      <c r="D716" s="1" t="s">
        <v>146</v>
      </c>
      <c r="E716" s="1" t="s">
        <v>139</v>
      </c>
      <c r="F716" s="16">
        <v>3</v>
      </c>
      <c r="G716" s="16" t="s">
        <v>30</v>
      </c>
      <c r="H716" s="16" t="s">
        <v>31</v>
      </c>
      <c r="I716" s="16" t="s">
        <v>32</v>
      </c>
      <c r="J716" s="1"/>
      <c r="K716" t="s">
        <v>46</v>
      </c>
      <c r="L716" t="s">
        <v>144</v>
      </c>
    </row>
    <row r="717">
      <c r="B717" s="24">
        <v>46009</v>
      </c>
      <c r="C717" s="16">
        <v>160</v>
      </c>
      <c r="D717" s="1" t="s">
        <v>146</v>
      </c>
      <c r="E717" s="1" t="s">
        <v>139</v>
      </c>
      <c r="F717" s="16">
        <v>3</v>
      </c>
      <c r="G717" s="16" t="s">
        <v>30</v>
      </c>
      <c r="H717" s="16" t="s">
        <v>31</v>
      </c>
      <c r="I717" s="16" t="s">
        <v>32</v>
      </c>
      <c r="J717" s="1"/>
      <c r="K717" t="s">
        <v>46</v>
      </c>
      <c r="L717" t="s">
        <v>140</v>
      </c>
    </row>
    <row r="718">
      <c r="B718" s="24">
        <v>46009</v>
      </c>
      <c r="C718" s="16">
        <v>187</v>
      </c>
      <c r="D718" s="1" t="s">
        <v>146</v>
      </c>
      <c r="E718" s="1" t="s">
        <v>139</v>
      </c>
      <c r="F718" s="16">
        <v>3</v>
      </c>
      <c r="G718" s="16" t="s">
        <v>30</v>
      </c>
      <c r="H718" s="16" t="s">
        <v>31</v>
      </c>
      <c r="I718" s="16" t="s">
        <v>32</v>
      </c>
      <c r="J718" s="1"/>
      <c r="K718" t="s">
        <v>46</v>
      </c>
      <c r="L718" t="s">
        <v>141</v>
      </c>
    </row>
    <row r="719">
      <c r="B719" s="24">
        <v>46009</v>
      </c>
      <c r="C719" s="16">
        <v>5</v>
      </c>
      <c r="D719" s="1" t="s">
        <v>146</v>
      </c>
      <c r="E719" s="1" t="s">
        <v>139</v>
      </c>
      <c r="F719" s="16">
        <v>3</v>
      </c>
      <c r="G719" s="16" t="s">
        <v>30</v>
      </c>
      <c r="H719" s="16" t="s">
        <v>31</v>
      </c>
      <c r="I719" s="16" t="s">
        <v>32</v>
      </c>
      <c r="J719" s="1"/>
      <c r="K719" t="s">
        <v>46</v>
      </c>
      <c r="L719" t="s">
        <v>142</v>
      </c>
    </row>
    <row r="720">
      <c r="B720" s="24">
        <v>46009</v>
      </c>
      <c r="C720" s="16">
        <v>55</v>
      </c>
      <c r="D720" s="1" t="s">
        <v>146</v>
      </c>
      <c r="E720" s="1" t="s">
        <v>139</v>
      </c>
      <c r="F720" s="16">
        <v>3</v>
      </c>
      <c r="G720" s="16" t="s">
        <v>30</v>
      </c>
      <c r="H720" s="16" t="s">
        <v>31</v>
      </c>
      <c r="I720" s="16" t="s">
        <v>32</v>
      </c>
      <c r="J720" s="1"/>
      <c r="K720" t="s">
        <v>46</v>
      </c>
      <c r="L720" t="s">
        <v>143</v>
      </c>
    </row>
    <row r="721">
      <c r="B721" s="24">
        <v>46009</v>
      </c>
      <c r="C721" s="16">
        <v>92</v>
      </c>
      <c r="D721" s="1" t="s">
        <v>146</v>
      </c>
      <c r="E721" s="1" t="s">
        <v>139</v>
      </c>
      <c r="F721" s="16">
        <v>3</v>
      </c>
      <c r="G721" s="16" t="s">
        <v>30</v>
      </c>
      <c r="H721" s="16" t="s">
        <v>31</v>
      </c>
      <c r="I721" s="16" t="s">
        <v>32</v>
      </c>
      <c r="J721" s="1"/>
      <c r="K721" t="s">
        <v>46</v>
      </c>
      <c r="L721" t="s">
        <v>144</v>
      </c>
    </row>
    <row r="722">
      <c r="B722" s="24">
        <v>46016</v>
      </c>
      <c r="C722" s="16">
        <v>1</v>
      </c>
      <c r="D722" s="1" t="s">
        <v>146</v>
      </c>
      <c r="E722" s="1" t="s">
        <v>139</v>
      </c>
      <c r="F722" s="16">
        <v>3</v>
      </c>
      <c r="G722" s="16" t="s">
        <v>30</v>
      </c>
      <c r="H722" s="16" t="s">
        <v>31</v>
      </c>
      <c r="I722" s="16" t="s">
        <v>32</v>
      </c>
      <c r="J722" s="1"/>
      <c r="K722" t="s">
        <v>46</v>
      </c>
      <c r="L722" t="s">
        <v>145</v>
      </c>
    </row>
    <row r="723">
      <c r="B723" s="24">
        <v>46016</v>
      </c>
      <c r="C723" s="16">
        <v>239</v>
      </c>
      <c r="D723" s="1" t="s">
        <v>146</v>
      </c>
      <c r="E723" s="1" t="s">
        <v>139</v>
      </c>
      <c r="F723" s="16">
        <v>3</v>
      </c>
      <c r="G723" s="16" t="s">
        <v>30</v>
      </c>
      <c r="H723" s="16" t="s">
        <v>31</v>
      </c>
      <c r="I723" s="16" t="s">
        <v>32</v>
      </c>
      <c r="J723" s="1"/>
      <c r="K723" t="s">
        <v>46</v>
      </c>
      <c r="L723" t="s">
        <v>140</v>
      </c>
    </row>
    <row r="724">
      <c r="B724" s="24">
        <v>46016</v>
      </c>
      <c r="C724" s="16">
        <v>231</v>
      </c>
      <c r="D724" s="1" t="s">
        <v>146</v>
      </c>
      <c r="E724" s="1" t="s">
        <v>139</v>
      </c>
      <c r="F724" s="16">
        <v>3</v>
      </c>
      <c r="G724" s="16" t="s">
        <v>30</v>
      </c>
      <c r="H724" s="16" t="s">
        <v>31</v>
      </c>
      <c r="I724" s="16" t="s">
        <v>32</v>
      </c>
      <c r="J724" s="1"/>
      <c r="K724" t="s">
        <v>46</v>
      </c>
      <c r="L724" t="s">
        <v>141</v>
      </c>
    </row>
    <row r="725">
      <c r="B725" s="24">
        <v>46016</v>
      </c>
      <c r="C725" s="16">
        <v>5</v>
      </c>
      <c r="D725" s="1" t="s">
        <v>146</v>
      </c>
      <c r="E725" s="1" t="s">
        <v>139</v>
      </c>
      <c r="F725" s="16">
        <v>3</v>
      </c>
      <c r="G725" s="16" t="s">
        <v>30</v>
      </c>
      <c r="H725" s="16" t="s">
        <v>31</v>
      </c>
      <c r="I725" s="16" t="s">
        <v>32</v>
      </c>
      <c r="J725" s="1"/>
      <c r="K725" t="s">
        <v>46</v>
      </c>
      <c r="L725" t="s">
        <v>142</v>
      </c>
    </row>
    <row r="726">
      <c r="B726" s="24">
        <v>46016</v>
      </c>
      <c r="C726" s="16">
        <v>49</v>
      </c>
      <c r="D726" s="1" t="s">
        <v>146</v>
      </c>
      <c r="E726" s="1" t="s">
        <v>139</v>
      </c>
      <c r="F726" s="16">
        <v>3</v>
      </c>
      <c r="G726" s="16" t="s">
        <v>30</v>
      </c>
      <c r="H726" s="16" t="s">
        <v>31</v>
      </c>
      <c r="I726" s="16" t="s">
        <v>32</v>
      </c>
      <c r="J726" s="1"/>
      <c r="K726" t="s">
        <v>46</v>
      </c>
      <c r="L726" t="s">
        <v>143</v>
      </c>
    </row>
    <row r="727">
      <c r="B727" s="24">
        <v>46016</v>
      </c>
      <c r="C727" s="16">
        <v>145</v>
      </c>
      <c r="D727" s="1" t="s">
        <v>146</v>
      </c>
      <c r="E727" s="1" t="s">
        <v>139</v>
      </c>
      <c r="F727" s="16">
        <v>3</v>
      </c>
      <c r="G727" s="16" t="s">
        <v>30</v>
      </c>
      <c r="H727" s="16" t="s">
        <v>31</v>
      </c>
      <c r="I727" s="16" t="s">
        <v>32</v>
      </c>
      <c r="J727" s="1"/>
      <c r="K727" t="s">
        <v>46</v>
      </c>
      <c r="L727" t="s">
        <v>144</v>
      </c>
    </row>
    <row r="728">
      <c r="B728" s="24">
        <v>46037</v>
      </c>
      <c r="C728" s="16">
        <v>47</v>
      </c>
      <c r="D728" s="1" t="s">
        <v>146</v>
      </c>
      <c r="E728" s="1" t="s">
        <v>139</v>
      </c>
      <c r="F728" s="16">
        <v>3</v>
      </c>
      <c r="G728" s="16" t="s">
        <v>30</v>
      </c>
      <c r="H728" s="16" t="s">
        <v>31</v>
      </c>
      <c r="I728" s="16" t="s">
        <v>32</v>
      </c>
      <c r="J728" s="1"/>
      <c r="K728" t="s">
        <v>46</v>
      </c>
      <c r="L728" t="s">
        <v>140</v>
      </c>
    </row>
    <row r="729">
      <c r="B729" s="24">
        <v>46037</v>
      </c>
      <c r="C729" s="16">
        <v>38</v>
      </c>
      <c r="D729" s="1" t="s">
        <v>146</v>
      </c>
      <c r="E729" s="1" t="s">
        <v>139</v>
      </c>
      <c r="F729" s="16">
        <v>3</v>
      </c>
      <c r="G729" s="16" t="s">
        <v>30</v>
      </c>
      <c r="H729" s="16" t="s">
        <v>31</v>
      </c>
      <c r="I729" s="16" t="s">
        <v>32</v>
      </c>
      <c r="J729" s="1"/>
      <c r="K729" t="s">
        <v>46</v>
      </c>
      <c r="L729" t="s">
        <v>141</v>
      </c>
    </row>
    <row r="730">
      <c r="B730" s="24">
        <v>46037</v>
      </c>
      <c r="C730" s="16">
        <v>2</v>
      </c>
      <c r="D730" s="1" t="s">
        <v>146</v>
      </c>
      <c r="E730" s="1" t="s">
        <v>139</v>
      </c>
      <c r="F730" s="16">
        <v>3</v>
      </c>
      <c r="G730" s="16" t="s">
        <v>30</v>
      </c>
      <c r="H730" s="16" t="s">
        <v>31</v>
      </c>
      <c r="I730" s="16" t="s">
        <v>32</v>
      </c>
      <c r="J730" s="1"/>
      <c r="K730" t="s">
        <v>46</v>
      </c>
      <c r="L730" t="s">
        <v>143</v>
      </c>
    </row>
    <row r="731">
      <c r="B731" s="24">
        <v>46037</v>
      </c>
      <c r="C731" s="16">
        <v>22</v>
      </c>
      <c r="D731" s="1" t="s">
        <v>146</v>
      </c>
      <c r="E731" s="1" t="s">
        <v>139</v>
      </c>
      <c r="F731" s="16">
        <v>3</v>
      </c>
      <c r="G731" s="16" t="s">
        <v>30</v>
      </c>
      <c r="H731" s="16" t="s">
        <v>31</v>
      </c>
      <c r="I731" s="16" t="s">
        <v>32</v>
      </c>
      <c r="J731" s="1"/>
      <c r="K731" t="s">
        <v>46</v>
      </c>
      <c r="L731" t="s">
        <v>144</v>
      </c>
    </row>
    <row r="732">
      <c r="B732" s="24">
        <v>46044</v>
      </c>
      <c r="C732" s="16">
        <v>273</v>
      </c>
      <c r="D732" s="1" t="s">
        <v>146</v>
      </c>
      <c r="E732" s="1" t="s">
        <v>139</v>
      </c>
      <c r="F732" s="16">
        <v>3</v>
      </c>
      <c r="G732" s="16" t="s">
        <v>30</v>
      </c>
      <c r="H732" s="16" t="s">
        <v>31</v>
      </c>
      <c r="I732" s="16" t="s">
        <v>32</v>
      </c>
      <c r="J732" s="1"/>
      <c r="K732" t="s">
        <v>46</v>
      </c>
      <c r="L732" t="s">
        <v>140</v>
      </c>
    </row>
    <row r="733">
      <c r="B733" s="24">
        <v>46044</v>
      </c>
      <c r="C733" s="16">
        <v>165</v>
      </c>
      <c r="D733" s="1" t="s">
        <v>146</v>
      </c>
      <c r="E733" s="1" t="s">
        <v>139</v>
      </c>
      <c r="F733" s="16">
        <v>3</v>
      </c>
      <c r="G733" s="16" t="s">
        <v>30</v>
      </c>
      <c r="H733" s="16" t="s">
        <v>31</v>
      </c>
      <c r="I733" s="16" t="s">
        <v>32</v>
      </c>
      <c r="J733" s="1"/>
      <c r="K733" t="s">
        <v>46</v>
      </c>
      <c r="L733" t="s">
        <v>141</v>
      </c>
    </row>
    <row r="734">
      <c r="B734" s="24">
        <v>46044</v>
      </c>
      <c r="C734" s="16">
        <v>5</v>
      </c>
      <c r="D734" s="1" t="s">
        <v>146</v>
      </c>
      <c r="E734" s="1" t="s">
        <v>139</v>
      </c>
      <c r="F734" s="16">
        <v>3</v>
      </c>
      <c r="G734" s="16" t="s">
        <v>30</v>
      </c>
      <c r="H734" s="16" t="s">
        <v>31</v>
      </c>
      <c r="I734" s="16" t="s">
        <v>32</v>
      </c>
      <c r="J734" s="1"/>
      <c r="K734" t="s">
        <v>46</v>
      </c>
      <c r="L734" t="s">
        <v>142</v>
      </c>
    </row>
    <row r="735">
      <c r="B735" s="24">
        <v>46044</v>
      </c>
      <c r="C735" s="16">
        <v>48</v>
      </c>
      <c r="D735" s="1" t="s">
        <v>146</v>
      </c>
      <c r="E735" s="1" t="s">
        <v>139</v>
      </c>
      <c r="F735" s="16">
        <v>3</v>
      </c>
      <c r="G735" s="16" t="s">
        <v>30</v>
      </c>
      <c r="H735" s="16" t="s">
        <v>31</v>
      </c>
      <c r="I735" s="16" t="s">
        <v>32</v>
      </c>
      <c r="J735" s="1"/>
      <c r="K735" t="s">
        <v>46</v>
      </c>
      <c r="L735" t="s">
        <v>143</v>
      </c>
    </row>
    <row r="736">
      <c r="B736" s="24">
        <v>46044</v>
      </c>
      <c r="C736" s="16">
        <v>149</v>
      </c>
      <c r="D736" s="1" t="s">
        <v>146</v>
      </c>
      <c r="E736" s="1" t="s">
        <v>139</v>
      </c>
      <c r="F736" s="16">
        <v>3</v>
      </c>
      <c r="G736" s="16" t="s">
        <v>30</v>
      </c>
      <c r="H736" s="16" t="s">
        <v>31</v>
      </c>
      <c r="I736" s="16" t="s">
        <v>32</v>
      </c>
      <c r="J736" s="1"/>
      <c r="K736" t="s">
        <v>46</v>
      </c>
      <c r="L736" t="s">
        <v>144</v>
      </c>
    </row>
    <row r="737">
      <c r="B737" s="24">
        <v>46051</v>
      </c>
      <c r="C737" s="16">
        <v>1</v>
      </c>
      <c r="D737" s="1" t="s">
        <v>146</v>
      </c>
      <c r="E737" s="1" t="s">
        <v>139</v>
      </c>
      <c r="F737" s="16">
        <v>3</v>
      </c>
      <c r="G737" s="16" t="s">
        <v>30</v>
      </c>
      <c r="H737" s="16" t="s">
        <v>31</v>
      </c>
      <c r="I737" s="16" t="s">
        <v>32</v>
      </c>
      <c r="J737" s="1"/>
      <c r="K737" t="s">
        <v>46</v>
      </c>
      <c r="L737" t="s">
        <v>145</v>
      </c>
    </row>
    <row r="738">
      <c r="B738" s="24">
        <v>46051</v>
      </c>
      <c r="C738" s="16">
        <v>223</v>
      </c>
      <c r="D738" s="1" t="s">
        <v>146</v>
      </c>
      <c r="E738" s="1" t="s">
        <v>139</v>
      </c>
      <c r="F738" s="16">
        <v>3</v>
      </c>
      <c r="G738" s="16" t="s">
        <v>30</v>
      </c>
      <c r="H738" s="16" t="s">
        <v>31</v>
      </c>
      <c r="I738" s="16" t="s">
        <v>32</v>
      </c>
      <c r="J738" s="1"/>
      <c r="K738" t="s">
        <v>46</v>
      </c>
      <c r="L738" t="s">
        <v>140</v>
      </c>
    </row>
    <row r="739">
      <c r="B739" s="24">
        <v>46051</v>
      </c>
      <c r="C739" s="16">
        <v>144</v>
      </c>
      <c r="D739" s="1" t="s">
        <v>146</v>
      </c>
      <c r="E739" s="1" t="s">
        <v>139</v>
      </c>
      <c r="F739" s="16">
        <v>3</v>
      </c>
      <c r="G739" s="16" t="s">
        <v>30</v>
      </c>
      <c r="H739" s="16" t="s">
        <v>31</v>
      </c>
      <c r="I739" s="16" t="s">
        <v>32</v>
      </c>
      <c r="J739" s="1"/>
      <c r="K739" t="s">
        <v>46</v>
      </c>
      <c r="L739" t="s">
        <v>141</v>
      </c>
    </row>
    <row r="740">
      <c r="B740" s="24">
        <v>46051</v>
      </c>
      <c r="C740" s="16">
        <v>8</v>
      </c>
      <c r="D740" s="1" t="s">
        <v>146</v>
      </c>
      <c r="E740" s="1" t="s">
        <v>139</v>
      </c>
      <c r="F740" s="16">
        <v>3</v>
      </c>
      <c r="G740" s="16" t="s">
        <v>30</v>
      </c>
      <c r="H740" s="16" t="s">
        <v>31</v>
      </c>
      <c r="I740" s="16" t="s">
        <v>32</v>
      </c>
      <c r="J740" s="1"/>
      <c r="K740" t="s">
        <v>46</v>
      </c>
      <c r="L740" t="s">
        <v>142</v>
      </c>
    </row>
    <row r="741">
      <c r="B741" s="24">
        <v>46051</v>
      </c>
      <c r="C741" s="16">
        <v>38</v>
      </c>
      <c r="D741" s="1" t="s">
        <v>146</v>
      </c>
      <c r="E741" s="1" t="s">
        <v>139</v>
      </c>
      <c r="F741" s="16">
        <v>3</v>
      </c>
      <c r="G741" s="16" t="s">
        <v>30</v>
      </c>
      <c r="H741" s="16" t="s">
        <v>31</v>
      </c>
      <c r="I741" s="16" t="s">
        <v>32</v>
      </c>
      <c r="J741" s="1"/>
      <c r="K741" t="s">
        <v>46</v>
      </c>
      <c r="L741" t="s">
        <v>143</v>
      </c>
    </row>
    <row r="742">
      <c r="B742" s="24">
        <v>46051</v>
      </c>
      <c r="C742" s="16">
        <v>126</v>
      </c>
      <c r="D742" s="1" t="s">
        <v>146</v>
      </c>
      <c r="E742" s="1" t="s">
        <v>139</v>
      </c>
      <c r="F742" s="16">
        <v>3</v>
      </c>
      <c r="G742" s="16" t="s">
        <v>30</v>
      </c>
      <c r="H742" s="16" t="s">
        <v>31</v>
      </c>
      <c r="I742" s="16" t="s">
        <v>32</v>
      </c>
      <c r="J742" s="1"/>
      <c r="K742" t="s">
        <v>46</v>
      </c>
      <c r="L742" t="s">
        <v>144</v>
      </c>
    </row>
    <row r="743">
      <c r="B743" s="24">
        <v>46058</v>
      </c>
      <c r="C743" s="16">
        <v>242</v>
      </c>
      <c r="D743" s="1" t="s">
        <v>146</v>
      </c>
      <c r="E743" s="1" t="s">
        <v>139</v>
      </c>
      <c r="F743" s="16">
        <v>3</v>
      </c>
      <c r="G743" s="16" t="s">
        <v>30</v>
      </c>
      <c r="H743" s="16" t="s">
        <v>31</v>
      </c>
      <c r="I743" s="16" t="s">
        <v>32</v>
      </c>
      <c r="J743" s="1"/>
      <c r="K743" t="s">
        <v>46</v>
      </c>
      <c r="L743" t="s">
        <v>140</v>
      </c>
    </row>
    <row r="744">
      <c r="B744" s="24">
        <v>46058</v>
      </c>
      <c r="C744" s="16">
        <v>147</v>
      </c>
      <c r="D744" s="1" t="s">
        <v>146</v>
      </c>
      <c r="E744" s="1" t="s">
        <v>139</v>
      </c>
      <c r="F744" s="16">
        <v>3</v>
      </c>
      <c r="G744" s="16" t="s">
        <v>30</v>
      </c>
      <c r="H744" s="16" t="s">
        <v>31</v>
      </c>
      <c r="I744" s="16" t="s">
        <v>32</v>
      </c>
      <c r="J744" s="1"/>
      <c r="K744" t="s">
        <v>46</v>
      </c>
      <c r="L744" t="s">
        <v>141</v>
      </c>
    </row>
    <row r="745">
      <c r="B745" s="24">
        <v>46058</v>
      </c>
      <c r="C745" s="16">
        <v>3</v>
      </c>
      <c r="D745" s="1" t="s">
        <v>146</v>
      </c>
      <c r="E745" s="1" t="s">
        <v>139</v>
      </c>
      <c r="F745" s="16">
        <v>3</v>
      </c>
      <c r="G745" s="16" t="s">
        <v>30</v>
      </c>
      <c r="H745" s="16" t="s">
        <v>31</v>
      </c>
      <c r="I745" s="16" t="s">
        <v>32</v>
      </c>
      <c r="J745" s="1"/>
      <c r="K745" t="s">
        <v>46</v>
      </c>
      <c r="L745" t="s">
        <v>142</v>
      </c>
    </row>
    <row r="746">
      <c r="B746" s="24">
        <v>46058</v>
      </c>
      <c r="C746" s="16">
        <v>29</v>
      </c>
      <c r="D746" s="1" t="s">
        <v>146</v>
      </c>
      <c r="E746" s="1" t="s">
        <v>139</v>
      </c>
      <c r="F746" s="16">
        <v>3</v>
      </c>
      <c r="G746" s="16" t="s">
        <v>30</v>
      </c>
      <c r="H746" s="16" t="s">
        <v>31</v>
      </c>
      <c r="I746" s="16" t="s">
        <v>32</v>
      </c>
      <c r="J746" s="1"/>
      <c r="K746" t="s">
        <v>46</v>
      </c>
      <c r="L746" t="s">
        <v>143</v>
      </c>
    </row>
    <row r="747">
      <c r="B747" s="24">
        <v>46058</v>
      </c>
      <c r="C747" s="16">
        <v>95</v>
      </c>
      <c r="D747" s="1" t="s">
        <v>146</v>
      </c>
      <c r="E747" s="1" t="s">
        <v>139</v>
      </c>
      <c r="F747" s="16">
        <v>3</v>
      </c>
      <c r="G747" s="16" t="s">
        <v>30</v>
      </c>
      <c r="H747" s="16" t="s">
        <v>31</v>
      </c>
      <c r="I747" s="16" t="s">
        <v>32</v>
      </c>
      <c r="J747" s="1"/>
      <c r="K747" t="s">
        <v>46</v>
      </c>
      <c r="L747" t="s">
        <v>144</v>
      </c>
    </row>
    <row r="748">
      <c r="B748" s="24">
        <v>46065</v>
      </c>
      <c r="C748" s="16">
        <v>157</v>
      </c>
      <c r="D748" s="1" t="s">
        <v>146</v>
      </c>
      <c r="E748" s="1" t="s">
        <v>139</v>
      </c>
      <c r="F748" s="16">
        <v>3</v>
      </c>
      <c r="G748" s="16" t="s">
        <v>30</v>
      </c>
      <c r="H748" s="16" t="s">
        <v>31</v>
      </c>
      <c r="I748" s="16" t="s">
        <v>32</v>
      </c>
      <c r="J748" s="1"/>
      <c r="K748" t="s">
        <v>46</v>
      </c>
      <c r="L748" t="s">
        <v>140</v>
      </c>
    </row>
    <row r="749">
      <c r="B749" s="24">
        <v>46065</v>
      </c>
      <c r="C749" s="16">
        <v>117</v>
      </c>
      <c r="D749" s="1" t="s">
        <v>146</v>
      </c>
      <c r="E749" s="1" t="s">
        <v>139</v>
      </c>
      <c r="F749" s="16">
        <v>3</v>
      </c>
      <c r="G749" s="16" t="s">
        <v>30</v>
      </c>
      <c r="H749" s="16" t="s">
        <v>31</v>
      </c>
      <c r="I749" s="16" t="s">
        <v>32</v>
      </c>
      <c r="J749" s="1"/>
      <c r="K749" t="s">
        <v>46</v>
      </c>
      <c r="L749" t="s">
        <v>141</v>
      </c>
    </row>
    <row r="750">
      <c r="B750" s="24">
        <v>46065</v>
      </c>
      <c r="C750" s="16">
        <v>2</v>
      </c>
      <c r="D750" s="1" t="s">
        <v>146</v>
      </c>
      <c r="E750" s="1" t="s">
        <v>139</v>
      </c>
      <c r="F750" s="16">
        <v>3</v>
      </c>
      <c r="G750" s="16" t="s">
        <v>30</v>
      </c>
      <c r="H750" s="16" t="s">
        <v>31</v>
      </c>
      <c r="I750" s="16" t="s">
        <v>32</v>
      </c>
      <c r="J750" s="1"/>
      <c r="K750" t="s">
        <v>46</v>
      </c>
      <c r="L750" t="s">
        <v>142</v>
      </c>
    </row>
    <row r="751">
      <c r="B751" s="24">
        <v>46065</v>
      </c>
      <c r="C751" s="16">
        <v>24</v>
      </c>
      <c r="D751" s="1" t="s">
        <v>146</v>
      </c>
      <c r="E751" s="1" t="s">
        <v>139</v>
      </c>
      <c r="F751" s="16">
        <v>3</v>
      </c>
      <c r="G751" s="16" t="s">
        <v>30</v>
      </c>
      <c r="H751" s="16" t="s">
        <v>31</v>
      </c>
      <c r="I751" s="16" t="s">
        <v>32</v>
      </c>
      <c r="J751" s="1"/>
      <c r="K751" t="s">
        <v>46</v>
      </c>
      <c r="L751" t="s">
        <v>143</v>
      </c>
    </row>
    <row r="752">
      <c r="B752" s="24">
        <v>46065</v>
      </c>
      <c r="C752" s="16">
        <v>55</v>
      </c>
      <c r="D752" s="1" t="s">
        <v>146</v>
      </c>
      <c r="E752" s="1" t="s">
        <v>139</v>
      </c>
      <c r="F752" s="16">
        <v>3</v>
      </c>
      <c r="G752" s="16" t="s">
        <v>30</v>
      </c>
      <c r="H752" s="16" t="s">
        <v>31</v>
      </c>
      <c r="I752" s="16" t="s">
        <v>32</v>
      </c>
      <c r="J752" s="1"/>
      <c r="K752" t="s">
        <v>46</v>
      </c>
      <c r="L752" t="s">
        <v>144</v>
      </c>
    </row>
    <row r="753">
      <c r="B753" s="24">
        <v>46072</v>
      </c>
      <c r="C753" s="16">
        <v>162</v>
      </c>
      <c r="D753" s="1" t="s">
        <v>146</v>
      </c>
      <c r="E753" s="1" t="s">
        <v>139</v>
      </c>
      <c r="F753" s="16">
        <v>3</v>
      </c>
      <c r="G753" s="16" t="s">
        <v>30</v>
      </c>
      <c r="H753" s="16" t="s">
        <v>31</v>
      </c>
      <c r="I753" s="16" t="s">
        <v>32</v>
      </c>
      <c r="J753" s="1"/>
      <c r="K753" t="s">
        <v>46</v>
      </c>
      <c r="L753" t="s">
        <v>140</v>
      </c>
    </row>
    <row r="754">
      <c r="B754" s="24">
        <v>46072</v>
      </c>
      <c r="C754" s="16">
        <v>164</v>
      </c>
      <c r="D754" s="1" t="s">
        <v>146</v>
      </c>
      <c r="E754" s="1" t="s">
        <v>139</v>
      </c>
      <c r="F754" s="16">
        <v>3</v>
      </c>
      <c r="G754" s="16" t="s">
        <v>30</v>
      </c>
      <c r="H754" s="16" t="s">
        <v>31</v>
      </c>
      <c r="I754" s="16" t="s">
        <v>32</v>
      </c>
      <c r="J754" s="1"/>
      <c r="K754" t="s">
        <v>46</v>
      </c>
      <c r="L754" t="s">
        <v>141</v>
      </c>
    </row>
    <row r="755">
      <c r="B755" s="24">
        <v>46072</v>
      </c>
      <c r="C755" s="16">
        <v>4</v>
      </c>
      <c r="D755" s="1" t="s">
        <v>146</v>
      </c>
      <c r="E755" s="1" t="s">
        <v>139</v>
      </c>
      <c r="F755" s="16">
        <v>3</v>
      </c>
      <c r="G755" s="16" t="s">
        <v>30</v>
      </c>
      <c r="H755" s="16" t="s">
        <v>31</v>
      </c>
      <c r="I755" s="16" t="s">
        <v>32</v>
      </c>
      <c r="J755" s="1"/>
      <c r="K755" t="s">
        <v>46</v>
      </c>
      <c r="L755" t="s">
        <v>142</v>
      </c>
    </row>
    <row r="756">
      <c r="B756" s="24">
        <v>46072</v>
      </c>
      <c r="C756" s="16">
        <v>49</v>
      </c>
      <c r="D756" s="1" t="s">
        <v>146</v>
      </c>
      <c r="E756" s="1" t="s">
        <v>139</v>
      </c>
      <c r="F756" s="16">
        <v>3</v>
      </c>
      <c r="G756" s="16" t="s">
        <v>30</v>
      </c>
      <c r="H756" s="16" t="s">
        <v>31</v>
      </c>
      <c r="I756" s="16" t="s">
        <v>32</v>
      </c>
      <c r="J756" s="1"/>
      <c r="K756" t="s">
        <v>46</v>
      </c>
      <c r="L756" t="s">
        <v>143</v>
      </c>
    </row>
    <row r="757">
      <c r="B757" s="24">
        <v>46072</v>
      </c>
      <c r="C757" s="16">
        <v>67</v>
      </c>
      <c r="D757" s="1" t="s">
        <v>146</v>
      </c>
      <c r="E757" s="1" t="s">
        <v>139</v>
      </c>
      <c r="F757" s="16">
        <v>3</v>
      </c>
      <c r="G757" s="16" t="s">
        <v>30</v>
      </c>
      <c r="H757" s="16" t="s">
        <v>31</v>
      </c>
      <c r="I757" s="16" t="s">
        <v>32</v>
      </c>
      <c r="J757" s="1"/>
      <c r="K757" t="s">
        <v>46</v>
      </c>
      <c r="L757" t="s">
        <v>144</v>
      </c>
    </row>
    <row r="758">
      <c r="B758" s="24">
        <v>46079</v>
      </c>
      <c r="C758" s="16">
        <v>127</v>
      </c>
      <c r="D758" s="1" t="s">
        <v>146</v>
      </c>
      <c r="E758" s="1" t="s">
        <v>139</v>
      </c>
      <c r="F758" s="16">
        <v>3</v>
      </c>
      <c r="G758" s="16" t="s">
        <v>30</v>
      </c>
      <c r="H758" s="16" t="s">
        <v>31</v>
      </c>
      <c r="I758" s="16" t="s">
        <v>32</v>
      </c>
      <c r="J758" s="1"/>
      <c r="K758" t="s">
        <v>46</v>
      </c>
      <c r="L758" t="s">
        <v>140</v>
      </c>
    </row>
    <row r="759">
      <c r="B759" s="24">
        <v>46079</v>
      </c>
      <c r="C759" s="16">
        <v>109</v>
      </c>
      <c r="D759" s="1" t="s">
        <v>146</v>
      </c>
      <c r="E759" s="1" t="s">
        <v>139</v>
      </c>
      <c r="F759" s="16">
        <v>3</v>
      </c>
      <c r="G759" s="16" t="s">
        <v>30</v>
      </c>
      <c r="H759" s="16" t="s">
        <v>31</v>
      </c>
      <c r="I759" s="16" t="s">
        <v>32</v>
      </c>
      <c r="J759" s="1"/>
      <c r="K759" t="s">
        <v>46</v>
      </c>
      <c r="L759" t="s">
        <v>141</v>
      </c>
    </row>
    <row r="760">
      <c r="B760" s="24">
        <v>46079</v>
      </c>
      <c r="C760" s="16">
        <v>4</v>
      </c>
      <c r="D760" s="1" t="s">
        <v>146</v>
      </c>
      <c r="E760" s="1" t="s">
        <v>139</v>
      </c>
      <c r="F760" s="16">
        <v>3</v>
      </c>
      <c r="G760" s="16" t="s">
        <v>30</v>
      </c>
      <c r="H760" s="16" t="s">
        <v>31</v>
      </c>
      <c r="I760" s="16" t="s">
        <v>32</v>
      </c>
      <c r="J760" s="1"/>
      <c r="K760" t="s">
        <v>46</v>
      </c>
      <c r="L760" t="s">
        <v>142</v>
      </c>
    </row>
    <row r="761">
      <c r="B761" s="24">
        <v>46079</v>
      </c>
      <c r="C761" s="16">
        <v>23</v>
      </c>
      <c r="D761" s="1" t="s">
        <v>146</v>
      </c>
      <c r="E761" s="1" t="s">
        <v>139</v>
      </c>
      <c r="F761" s="16">
        <v>3</v>
      </c>
      <c r="G761" s="16" t="s">
        <v>30</v>
      </c>
      <c r="H761" s="16" t="s">
        <v>31</v>
      </c>
      <c r="I761" s="16" t="s">
        <v>32</v>
      </c>
      <c r="J761" s="1"/>
      <c r="K761" t="s">
        <v>46</v>
      </c>
      <c r="L761" t="s">
        <v>143</v>
      </c>
    </row>
    <row r="762">
      <c r="B762" s="24">
        <v>46079</v>
      </c>
      <c r="C762" s="16">
        <v>59</v>
      </c>
      <c r="D762" s="1" t="s">
        <v>146</v>
      </c>
      <c r="E762" s="1" t="s">
        <v>139</v>
      </c>
      <c r="F762" s="16">
        <v>3</v>
      </c>
      <c r="G762" s="16" t="s">
        <v>30</v>
      </c>
      <c r="H762" s="16" t="s">
        <v>31</v>
      </c>
      <c r="I762" s="16" t="s">
        <v>32</v>
      </c>
      <c r="J762" s="1"/>
      <c r="K762" t="s">
        <v>46</v>
      </c>
      <c r="L762" t="s">
        <v>144</v>
      </c>
    </row>
    <row r="763">
      <c r="B763" s="24">
        <v>46086</v>
      </c>
      <c r="C763" s="16">
        <v>76</v>
      </c>
      <c r="D763" s="1" t="s">
        <v>146</v>
      </c>
      <c r="E763" s="1" t="s">
        <v>139</v>
      </c>
      <c r="F763" s="16">
        <v>3</v>
      </c>
      <c r="G763" s="16" t="s">
        <v>30</v>
      </c>
      <c r="H763" s="16" t="s">
        <v>31</v>
      </c>
      <c r="I763" s="16" t="s">
        <v>32</v>
      </c>
      <c r="J763" s="1"/>
      <c r="K763" t="s">
        <v>46</v>
      </c>
      <c r="L763" t="s">
        <v>140</v>
      </c>
    </row>
    <row r="764">
      <c r="B764" s="24">
        <v>46086</v>
      </c>
      <c r="C764" s="16">
        <v>80</v>
      </c>
      <c r="D764" s="1" t="s">
        <v>146</v>
      </c>
      <c r="E764" s="1" t="s">
        <v>139</v>
      </c>
      <c r="F764" s="16">
        <v>3</v>
      </c>
      <c r="G764" s="16" t="s">
        <v>30</v>
      </c>
      <c r="H764" s="16" t="s">
        <v>31</v>
      </c>
      <c r="I764" s="16" t="s">
        <v>32</v>
      </c>
      <c r="J764" s="1"/>
      <c r="K764" t="s">
        <v>46</v>
      </c>
      <c r="L764" t="s">
        <v>141</v>
      </c>
    </row>
    <row r="765">
      <c r="B765" s="24">
        <v>46086</v>
      </c>
      <c r="C765" s="16">
        <v>2</v>
      </c>
      <c r="D765" s="1" t="s">
        <v>146</v>
      </c>
      <c r="E765" s="1" t="s">
        <v>139</v>
      </c>
      <c r="F765" s="16">
        <v>3</v>
      </c>
      <c r="G765" s="16" t="s">
        <v>30</v>
      </c>
      <c r="H765" s="16" t="s">
        <v>31</v>
      </c>
      <c r="I765" s="16" t="s">
        <v>32</v>
      </c>
      <c r="J765" s="1"/>
      <c r="K765" t="s">
        <v>46</v>
      </c>
      <c r="L765" t="s">
        <v>142</v>
      </c>
    </row>
    <row r="766">
      <c r="B766" s="24">
        <v>46086</v>
      </c>
      <c r="C766" s="16">
        <v>19</v>
      </c>
      <c r="D766" s="1" t="s">
        <v>146</v>
      </c>
      <c r="E766" s="1" t="s">
        <v>139</v>
      </c>
      <c r="F766" s="16">
        <v>3</v>
      </c>
      <c r="G766" s="16" t="s">
        <v>30</v>
      </c>
      <c r="H766" s="16" t="s">
        <v>31</v>
      </c>
      <c r="I766" s="16" t="s">
        <v>32</v>
      </c>
      <c r="J766" s="1"/>
      <c r="K766" t="s">
        <v>46</v>
      </c>
      <c r="L766" t="s">
        <v>143</v>
      </c>
    </row>
    <row r="767">
      <c r="B767" s="24">
        <v>46086</v>
      </c>
      <c r="C767" s="16">
        <v>56</v>
      </c>
      <c r="D767" s="1" t="s">
        <v>146</v>
      </c>
      <c r="E767" s="1" t="s">
        <v>139</v>
      </c>
      <c r="F767" s="16">
        <v>3</v>
      </c>
      <c r="G767" s="16" t="s">
        <v>30</v>
      </c>
      <c r="H767" s="16" t="s">
        <v>31</v>
      </c>
      <c r="I767" s="16" t="s">
        <v>32</v>
      </c>
      <c r="J767" s="1"/>
      <c r="K767" t="s">
        <v>46</v>
      </c>
      <c r="L767" t="s">
        <v>144</v>
      </c>
    </row>
    <row r="768">
      <c r="B768" s="24">
        <v>46093</v>
      </c>
      <c r="C768" s="16">
        <v>89</v>
      </c>
      <c r="D768" s="1" t="s">
        <v>146</v>
      </c>
      <c r="E768" s="1" t="s">
        <v>139</v>
      </c>
      <c r="F768" s="16">
        <v>3</v>
      </c>
      <c r="G768" s="16" t="s">
        <v>30</v>
      </c>
      <c r="H768" s="16" t="s">
        <v>31</v>
      </c>
      <c r="I768" s="16" t="s">
        <v>32</v>
      </c>
      <c r="J768" s="1"/>
      <c r="K768" t="s">
        <v>46</v>
      </c>
      <c r="L768" t="s">
        <v>140</v>
      </c>
    </row>
    <row r="769">
      <c r="B769" s="24">
        <v>46093</v>
      </c>
      <c r="C769" s="16">
        <v>82</v>
      </c>
      <c r="D769" s="1" t="s">
        <v>146</v>
      </c>
      <c r="E769" s="1" t="s">
        <v>139</v>
      </c>
      <c r="F769" s="16">
        <v>3</v>
      </c>
      <c r="G769" s="16" t="s">
        <v>30</v>
      </c>
      <c r="H769" s="16" t="s">
        <v>31</v>
      </c>
      <c r="I769" s="16" t="s">
        <v>32</v>
      </c>
      <c r="J769" s="1"/>
      <c r="K769" t="s">
        <v>46</v>
      </c>
      <c r="L769" t="s">
        <v>141</v>
      </c>
    </row>
    <row r="770">
      <c r="B770" s="24">
        <v>46093</v>
      </c>
      <c r="C770" s="16">
        <v>1</v>
      </c>
      <c r="D770" s="1" t="s">
        <v>146</v>
      </c>
      <c r="E770" s="1" t="s">
        <v>139</v>
      </c>
      <c r="F770" s="16">
        <v>3</v>
      </c>
      <c r="G770" s="16" t="s">
        <v>30</v>
      </c>
      <c r="H770" s="16" t="s">
        <v>31</v>
      </c>
      <c r="I770" s="16" t="s">
        <v>32</v>
      </c>
      <c r="J770" s="1"/>
      <c r="K770" t="s">
        <v>46</v>
      </c>
      <c r="L770" t="s">
        <v>142</v>
      </c>
    </row>
    <row r="771">
      <c r="B771" s="24">
        <v>46093</v>
      </c>
      <c r="C771" s="16">
        <v>19</v>
      </c>
      <c r="D771" s="1" t="s">
        <v>146</v>
      </c>
      <c r="E771" s="1" t="s">
        <v>139</v>
      </c>
      <c r="F771" s="16">
        <v>3</v>
      </c>
      <c r="G771" s="16" t="s">
        <v>30</v>
      </c>
      <c r="H771" s="16" t="s">
        <v>31</v>
      </c>
      <c r="I771" s="16" t="s">
        <v>32</v>
      </c>
      <c r="J771" s="1"/>
      <c r="K771" t="s">
        <v>46</v>
      </c>
      <c r="L771" t="s">
        <v>143</v>
      </c>
    </row>
    <row r="772">
      <c r="B772" s="24">
        <v>46093</v>
      </c>
      <c r="C772" s="16">
        <v>42</v>
      </c>
      <c r="D772" s="1" t="s">
        <v>146</v>
      </c>
      <c r="E772" s="1" t="s">
        <v>139</v>
      </c>
      <c r="F772" s="16">
        <v>3</v>
      </c>
      <c r="G772" s="16" t="s">
        <v>30</v>
      </c>
      <c r="H772" s="16" t="s">
        <v>31</v>
      </c>
      <c r="I772" s="16" t="s">
        <v>32</v>
      </c>
      <c r="J772" s="1"/>
      <c r="K772" t="s">
        <v>46</v>
      </c>
      <c r="L772" t="s">
        <v>144</v>
      </c>
    </row>
    <row r="773">
      <c r="B773" s="24">
        <v>46100</v>
      </c>
      <c r="C773" s="16">
        <v>95</v>
      </c>
      <c r="D773" s="1" t="s">
        <v>146</v>
      </c>
      <c r="E773" s="1" t="s">
        <v>139</v>
      </c>
      <c r="F773" s="16">
        <v>3</v>
      </c>
      <c r="G773" s="16" t="s">
        <v>30</v>
      </c>
      <c r="H773" s="16" t="s">
        <v>31</v>
      </c>
      <c r="I773" s="16" t="s">
        <v>32</v>
      </c>
      <c r="J773" s="1"/>
      <c r="K773" t="s">
        <v>46</v>
      </c>
      <c r="L773" t="s">
        <v>140</v>
      </c>
    </row>
    <row r="774">
      <c r="B774" s="24">
        <v>46100</v>
      </c>
      <c r="C774" s="16">
        <v>133</v>
      </c>
      <c r="D774" s="1" t="s">
        <v>146</v>
      </c>
      <c r="E774" s="1" t="s">
        <v>139</v>
      </c>
      <c r="F774" s="16">
        <v>3</v>
      </c>
      <c r="G774" s="16" t="s">
        <v>30</v>
      </c>
      <c r="H774" s="16" t="s">
        <v>31</v>
      </c>
      <c r="I774" s="16" t="s">
        <v>32</v>
      </c>
      <c r="J774" s="1"/>
      <c r="K774" t="s">
        <v>46</v>
      </c>
      <c r="L774" t="s">
        <v>141</v>
      </c>
    </row>
    <row r="775">
      <c r="B775" s="24">
        <v>46100</v>
      </c>
      <c r="C775" s="16">
        <v>3</v>
      </c>
      <c r="D775" s="1" t="s">
        <v>146</v>
      </c>
      <c r="E775" s="1" t="s">
        <v>139</v>
      </c>
      <c r="F775" s="16">
        <v>3</v>
      </c>
      <c r="G775" s="16" t="s">
        <v>30</v>
      </c>
      <c r="H775" s="16" t="s">
        <v>31</v>
      </c>
      <c r="I775" s="16" t="s">
        <v>32</v>
      </c>
      <c r="J775" s="1"/>
      <c r="K775" t="s">
        <v>46</v>
      </c>
      <c r="L775" t="s">
        <v>142</v>
      </c>
    </row>
    <row r="776">
      <c r="B776" s="24">
        <v>46100</v>
      </c>
      <c r="C776" s="16">
        <v>30</v>
      </c>
      <c r="D776" s="1" t="s">
        <v>146</v>
      </c>
      <c r="E776" s="1" t="s">
        <v>139</v>
      </c>
      <c r="F776" s="16">
        <v>3</v>
      </c>
      <c r="G776" s="16" t="s">
        <v>30</v>
      </c>
      <c r="H776" s="16" t="s">
        <v>31</v>
      </c>
      <c r="I776" s="16" t="s">
        <v>32</v>
      </c>
      <c r="J776" s="1"/>
      <c r="K776" t="s">
        <v>46</v>
      </c>
      <c r="L776" t="s">
        <v>143</v>
      </c>
    </row>
    <row r="777">
      <c r="B777" s="24">
        <v>46100</v>
      </c>
      <c r="C777" s="16">
        <v>39</v>
      </c>
      <c r="D777" s="1" t="s">
        <v>146</v>
      </c>
      <c r="E777" s="1" t="s">
        <v>139</v>
      </c>
      <c r="F777" s="16">
        <v>3</v>
      </c>
      <c r="G777" s="16" t="s">
        <v>30</v>
      </c>
      <c r="H777" s="16" t="s">
        <v>31</v>
      </c>
      <c r="I777" s="16" t="s">
        <v>32</v>
      </c>
      <c r="J777" s="1"/>
      <c r="K777" t="s">
        <v>46</v>
      </c>
      <c r="L777" t="s">
        <v>144</v>
      </c>
    </row>
    <row r="778">
      <c r="B778" s="24">
        <v>46107</v>
      </c>
      <c r="C778" s="16">
        <v>115</v>
      </c>
      <c r="D778" s="1" t="s">
        <v>146</v>
      </c>
      <c r="E778" s="1" t="s">
        <v>139</v>
      </c>
      <c r="F778" s="16">
        <v>3</v>
      </c>
      <c r="G778" s="16" t="s">
        <v>30</v>
      </c>
      <c r="H778" s="16" t="s">
        <v>31</v>
      </c>
      <c r="I778" s="16" t="s">
        <v>32</v>
      </c>
      <c r="J778" s="1"/>
      <c r="K778" t="s">
        <v>46</v>
      </c>
      <c r="L778" t="s">
        <v>140</v>
      </c>
    </row>
    <row r="779">
      <c r="B779" s="24">
        <v>46107</v>
      </c>
      <c r="C779" s="16">
        <v>124</v>
      </c>
      <c r="D779" s="1" t="s">
        <v>146</v>
      </c>
      <c r="E779" s="1" t="s">
        <v>139</v>
      </c>
      <c r="F779" s="16">
        <v>3</v>
      </c>
      <c r="G779" s="16" t="s">
        <v>30</v>
      </c>
      <c r="H779" s="16" t="s">
        <v>31</v>
      </c>
      <c r="I779" s="16" t="s">
        <v>32</v>
      </c>
      <c r="J779" s="1"/>
      <c r="K779" t="s">
        <v>46</v>
      </c>
      <c r="L779" t="s">
        <v>141</v>
      </c>
    </row>
    <row r="780">
      <c r="B780" s="24">
        <v>46107</v>
      </c>
      <c r="C780" s="16">
        <v>4</v>
      </c>
      <c r="D780" s="1" t="s">
        <v>146</v>
      </c>
      <c r="E780" s="1" t="s">
        <v>139</v>
      </c>
      <c r="F780" s="16">
        <v>3</v>
      </c>
      <c r="G780" s="16" t="s">
        <v>30</v>
      </c>
      <c r="H780" s="16" t="s">
        <v>31</v>
      </c>
      <c r="I780" s="16" t="s">
        <v>32</v>
      </c>
      <c r="J780" s="1"/>
      <c r="K780" t="s">
        <v>46</v>
      </c>
      <c r="L780" t="s">
        <v>142</v>
      </c>
    </row>
    <row r="781">
      <c r="B781" s="24">
        <v>46107</v>
      </c>
      <c r="C781" s="16">
        <v>24</v>
      </c>
      <c r="D781" s="1" t="s">
        <v>146</v>
      </c>
      <c r="E781" s="1" t="s">
        <v>139</v>
      </c>
      <c r="F781" s="16">
        <v>3</v>
      </c>
      <c r="G781" s="16" t="s">
        <v>30</v>
      </c>
      <c r="H781" s="16" t="s">
        <v>31</v>
      </c>
      <c r="I781" s="16" t="s">
        <v>32</v>
      </c>
      <c r="J781" s="1"/>
      <c r="K781" t="s">
        <v>46</v>
      </c>
      <c r="L781" t="s">
        <v>143</v>
      </c>
    </row>
    <row r="782">
      <c r="B782" s="24">
        <v>46107</v>
      </c>
      <c r="C782" s="16">
        <v>41</v>
      </c>
      <c r="D782" s="1" t="s">
        <v>146</v>
      </c>
      <c r="E782" s="1" t="s">
        <v>139</v>
      </c>
      <c r="F782" s="16">
        <v>3</v>
      </c>
      <c r="G782" s="16" t="s">
        <v>30</v>
      </c>
      <c r="H782" s="16" t="s">
        <v>31</v>
      </c>
      <c r="I782" s="16" t="s">
        <v>32</v>
      </c>
      <c r="J782" s="1"/>
      <c r="K782" t="s">
        <v>46</v>
      </c>
      <c r="L782" t="s">
        <v>144</v>
      </c>
    </row>
    <row r="783">
      <c r="B783" s="24">
        <v>46114</v>
      </c>
      <c r="C783" s="16">
        <v>121</v>
      </c>
      <c r="D783" s="1" t="s">
        <v>146</v>
      </c>
      <c r="E783" s="1" t="s">
        <v>139</v>
      </c>
      <c r="F783" s="16">
        <v>3</v>
      </c>
      <c r="G783" s="16" t="s">
        <v>30</v>
      </c>
      <c r="H783" s="16" t="s">
        <v>31</v>
      </c>
      <c r="I783" s="16" t="s">
        <v>32</v>
      </c>
      <c r="J783" s="1"/>
      <c r="K783" t="s">
        <v>46</v>
      </c>
      <c r="L783" t="s">
        <v>140</v>
      </c>
    </row>
    <row r="784">
      <c r="B784" s="24">
        <v>46114</v>
      </c>
      <c r="C784" s="16">
        <v>154</v>
      </c>
      <c r="D784" s="1" t="s">
        <v>146</v>
      </c>
      <c r="E784" s="1" t="s">
        <v>139</v>
      </c>
      <c r="F784" s="16">
        <v>3</v>
      </c>
      <c r="G784" s="16" t="s">
        <v>30</v>
      </c>
      <c r="H784" s="16" t="s">
        <v>31</v>
      </c>
      <c r="I784" s="16" t="s">
        <v>32</v>
      </c>
      <c r="J784" s="1"/>
      <c r="K784" t="s">
        <v>46</v>
      </c>
      <c r="L784" t="s">
        <v>141</v>
      </c>
    </row>
    <row r="785">
      <c r="B785" s="24">
        <v>46114</v>
      </c>
      <c r="C785" s="16">
        <v>3</v>
      </c>
      <c r="D785" s="1" t="s">
        <v>146</v>
      </c>
      <c r="E785" s="1" t="s">
        <v>139</v>
      </c>
      <c r="F785" s="16">
        <v>3</v>
      </c>
      <c r="G785" s="16" t="s">
        <v>30</v>
      </c>
      <c r="H785" s="16" t="s">
        <v>31</v>
      </c>
      <c r="I785" s="16" t="s">
        <v>32</v>
      </c>
      <c r="J785" s="1"/>
      <c r="K785" t="s">
        <v>46</v>
      </c>
      <c r="L785" t="s">
        <v>142</v>
      </c>
    </row>
    <row r="786">
      <c r="B786" s="24">
        <v>46114</v>
      </c>
      <c r="C786" s="16">
        <v>29</v>
      </c>
      <c r="D786" s="1" t="s">
        <v>146</v>
      </c>
      <c r="E786" s="1" t="s">
        <v>139</v>
      </c>
      <c r="F786" s="16">
        <v>3</v>
      </c>
      <c r="G786" s="16" t="s">
        <v>30</v>
      </c>
      <c r="H786" s="16" t="s">
        <v>31</v>
      </c>
      <c r="I786" s="16" t="s">
        <v>32</v>
      </c>
      <c r="J786" s="1"/>
      <c r="K786" t="s">
        <v>46</v>
      </c>
      <c r="L786" t="s">
        <v>143</v>
      </c>
    </row>
    <row r="787">
      <c r="B787" s="24">
        <v>46114</v>
      </c>
      <c r="C787" s="16">
        <v>56</v>
      </c>
      <c r="D787" s="1" t="s">
        <v>146</v>
      </c>
      <c r="E787" s="1" t="s">
        <v>139</v>
      </c>
      <c r="F787" s="16">
        <v>3</v>
      </c>
      <c r="G787" s="16" t="s">
        <v>30</v>
      </c>
      <c r="H787" s="16" t="s">
        <v>31</v>
      </c>
      <c r="I787" s="16" t="s">
        <v>32</v>
      </c>
      <c r="J787" s="1"/>
      <c r="K787" t="s">
        <v>46</v>
      </c>
      <c r="L787" t="s">
        <v>144</v>
      </c>
    </row>
    <row r="788">
      <c r="B788" s="24">
        <v>46121</v>
      </c>
      <c r="C788" s="16">
        <v>84</v>
      </c>
      <c r="D788" s="1" t="s">
        <v>146</v>
      </c>
      <c r="E788" s="1" t="s">
        <v>139</v>
      </c>
      <c r="F788" s="16">
        <v>3</v>
      </c>
      <c r="G788" s="16" t="s">
        <v>30</v>
      </c>
      <c r="H788" s="16" t="s">
        <v>31</v>
      </c>
      <c r="I788" s="16" t="s">
        <v>32</v>
      </c>
      <c r="J788" s="1"/>
      <c r="K788" t="s">
        <v>46</v>
      </c>
      <c r="L788" t="s">
        <v>140</v>
      </c>
    </row>
    <row r="789">
      <c r="B789" s="24">
        <v>46121</v>
      </c>
      <c r="C789" s="16">
        <v>86</v>
      </c>
      <c r="D789" s="1" t="s">
        <v>146</v>
      </c>
      <c r="E789" s="1" t="s">
        <v>139</v>
      </c>
      <c r="F789" s="16">
        <v>3</v>
      </c>
      <c r="G789" s="16" t="s">
        <v>30</v>
      </c>
      <c r="H789" s="16" t="s">
        <v>31</v>
      </c>
      <c r="I789" s="16" t="s">
        <v>32</v>
      </c>
      <c r="J789" s="1"/>
      <c r="K789" t="s">
        <v>46</v>
      </c>
      <c r="L789" t="s">
        <v>141</v>
      </c>
    </row>
    <row r="790">
      <c r="B790" s="24">
        <v>46121</v>
      </c>
      <c r="C790" s="16">
        <v>3</v>
      </c>
      <c r="D790" s="1" t="s">
        <v>146</v>
      </c>
      <c r="E790" s="1" t="s">
        <v>139</v>
      </c>
      <c r="F790" s="16">
        <v>3</v>
      </c>
      <c r="G790" s="16" t="s">
        <v>30</v>
      </c>
      <c r="H790" s="16" t="s">
        <v>31</v>
      </c>
      <c r="I790" s="16" t="s">
        <v>32</v>
      </c>
      <c r="J790" s="1"/>
      <c r="K790" t="s">
        <v>46</v>
      </c>
      <c r="L790" t="s">
        <v>142</v>
      </c>
    </row>
    <row r="791">
      <c r="B791" s="24">
        <v>46121</v>
      </c>
      <c r="C791" s="16">
        <v>22</v>
      </c>
      <c r="D791" s="1" t="s">
        <v>146</v>
      </c>
      <c r="E791" s="1" t="s">
        <v>139</v>
      </c>
      <c r="F791" s="16">
        <v>3</v>
      </c>
      <c r="G791" s="16" t="s">
        <v>30</v>
      </c>
      <c r="H791" s="16" t="s">
        <v>31</v>
      </c>
      <c r="I791" s="16" t="s">
        <v>32</v>
      </c>
      <c r="J791" s="1"/>
      <c r="K791" t="s">
        <v>46</v>
      </c>
      <c r="L791" t="s">
        <v>143</v>
      </c>
    </row>
    <row r="792">
      <c r="B792" s="24">
        <v>46121</v>
      </c>
      <c r="C792" s="16">
        <v>47</v>
      </c>
      <c r="D792" s="1" t="s">
        <v>146</v>
      </c>
      <c r="E792" s="1" t="s">
        <v>139</v>
      </c>
      <c r="F792" s="16">
        <v>3</v>
      </c>
      <c r="G792" s="16" t="s">
        <v>30</v>
      </c>
      <c r="H792" s="16" t="s">
        <v>31</v>
      </c>
      <c r="I792" s="16" t="s">
        <v>32</v>
      </c>
      <c r="J792" s="1"/>
      <c r="K792" t="s">
        <v>46</v>
      </c>
      <c r="L792" t="s">
        <v>144</v>
      </c>
    </row>
    <row r="793">
      <c r="B793" s="24">
        <v>46016</v>
      </c>
      <c r="C793" s="16">
        <v>1951</v>
      </c>
      <c r="D793" s="1" t="s">
        <v>147</v>
      </c>
      <c r="E793" s="1" t="s">
        <v>148</v>
      </c>
      <c r="F793" s="16">
        <v>3</v>
      </c>
      <c r="G793" s="16" t="s">
        <v>30</v>
      </c>
      <c r="H793" s="16" t="s">
        <v>149</v>
      </c>
      <c r="I793" s="16" t="s">
        <v>32</v>
      </c>
    </row>
    <row r="794">
      <c r="B794" s="24">
        <v>46107</v>
      </c>
      <c r="C794" s="16">
        <v>1938</v>
      </c>
      <c r="D794" s="1" t="s">
        <v>147</v>
      </c>
      <c r="E794" s="1" t="s">
        <v>148</v>
      </c>
      <c r="F794" s="16">
        <v>3</v>
      </c>
      <c r="G794" s="16" t="s">
        <v>30</v>
      </c>
      <c r="H794" s="16" t="s">
        <v>150</v>
      </c>
      <c r="I794" s="16" t="s">
        <v>32</v>
      </c>
    </row>
    <row r="795" ht="14.25">
      <c r="B795" s="37">
        <v>46009</v>
      </c>
      <c r="C795" s="16">
        <v>-1</v>
      </c>
      <c r="D795" s="35" t="s">
        <v>55</v>
      </c>
      <c r="E795" s="35" t="s">
        <v>56</v>
      </c>
      <c r="F795" s="16">
        <v>1</v>
      </c>
      <c r="G795" s="16" t="s">
        <v>30</v>
      </c>
      <c r="H795" s="16" t="s">
        <v>31</v>
      </c>
      <c r="I795" s="16" t="s">
        <v>32</v>
      </c>
      <c r="K795" s="35" t="s">
        <v>68</v>
      </c>
    </row>
    <row r="796" ht="14.25">
      <c r="B796" s="37">
        <v>46009</v>
      </c>
      <c r="C796" s="16">
        <v>-1</v>
      </c>
      <c r="D796" s="35" t="s">
        <v>55</v>
      </c>
      <c r="E796" s="35" t="s">
        <v>56</v>
      </c>
      <c r="F796" s="16">
        <v>1</v>
      </c>
      <c r="G796" s="16" t="s">
        <v>30</v>
      </c>
      <c r="H796" s="16" t="s">
        <v>31</v>
      </c>
      <c r="I796" s="16" t="s">
        <v>32</v>
      </c>
      <c r="K796" s="35" t="s">
        <v>151</v>
      </c>
    </row>
    <row r="797" ht="14.25">
      <c r="B797" s="37">
        <v>45925</v>
      </c>
      <c r="C797" s="16">
        <v>-1</v>
      </c>
      <c r="D797" s="35" t="s">
        <v>55</v>
      </c>
      <c r="E797" s="35" t="s">
        <v>56</v>
      </c>
      <c r="F797" s="16">
        <v>1</v>
      </c>
      <c r="G797" s="16" t="s">
        <v>30</v>
      </c>
      <c r="H797" s="16" t="s">
        <v>31</v>
      </c>
      <c r="I797" s="16" t="s">
        <v>32</v>
      </c>
      <c r="K797" s="35" t="s">
        <v>152</v>
      </c>
    </row>
    <row r="798" ht="14.25">
      <c r="B798" s="37">
        <v>45897</v>
      </c>
      <c r="C798" s="16">
        <v>38</v>
      </c>
      <c r="D798" s="16" t="s">
        <v>153</v>
      </c>
      <c r="E798" s="45" t="s">
        <v>154</v>
      </c>
      <c r="F798" s="16">
        <v>3</v>
      </c>
      <c r="G798" s="16" t="s">
        <v>43</v>
      </c>
      <c r="H798" s="16" t="s">
        <v>31</v>
      </c>
      <c r="I798" s="16" t="s">
        <v>32</v>
      </c>
      <c r="K798" s="45" t="s">
        <v>46</v>
      </c>
    </row>
    <row r="799" ht="14.25">
      <c r="B799" s="37">
        <v>45904</v>
      </c>
      <c r="C799" s="16">
        <v>38</v>
      </c>
      <c r="D799" s="16" t="s">
        <v>153</v>
      </c>
      <c r="E799" s="45" t="s">
        <v>154</v>
      </c>
      <c r="F799" s="16">
        <v>3</v>
      </c>
      <c r="G799" s="16" t="s">
        <v>43</v>
      </c>
      <c r="H799" s="16" t="s">
        <v>31</v>
      </c>
      <c r="I799" s="16" t="s">
        <v>32</v>
      </c>
      <c r="K799" s="45" t="s">
        <v>46</v>
      </c>
    </row>
    <row r="800" ht="14.25">
      <c r="B800" s="37">
        <v>45911</v>
      </c>
      <c r="C800" s="16">
        <v>37</v>
      </c>
      <c r="D800" s="16" t="s">
        <v>153</v>
      </c>
      <c r="E800" s="45" t="s">
        <v>154</v>
      </c>
      <c r="F800" s="16">
        <v>3</v>
      </c>
      <c r="G800" s="16" t="s">
        <v>43</v>
      </c>
      <c r="H800" s="16" t="s">
        <v>31</v>
      </c>
      <c r="I800" s="16" t="s">
        <v>32</v>
      </c>
      <c r="K800" s="45" t="s">
        <v>46</v>
      </c>
    </row>
    <row r="801" ht="14.25">
      <c r="B801" s="37">
        <v>45918</v>
      </c>
      <c r="C801" s="16">
        <v>41</v>
      </c>
      <c r="D801" s="16" t="s">
        <v>153</v>
      </c>
      <c r="E801" s="45" t="s">
        <v>154</v>
      </c>
      <c r="F801" s="16">
        <v>3</v>
      </c>
      <c r="G801" s="16" t="s">
        <v>43</v>
      </c>
      <c r="H801" s="16" t="s">
        <v>31</v>
      </c>
      <c r="I801" s="16" t="s">
        <v>32</v>
      </c>
      <c r="K801" s="45" t="s">
        <v>46</v>
      </c>
    </row>
    <row r="802" ht="14.25">
      <c r="B802" s="37">
        <v>45925</v>
      </c>
      <c r="C802" s="16">
        <v>41</v>
      </c>
      <c r="D802" s="16" t="s">
        <v>153</v>
      </c>
      <c r="E802" s="45" t="s">
        <v>154</v>
      </c>
      <c r="F802" s="16">
        <v>3</v>
      </c>
      <c r="G802" s="16" t="s">
        <v>43</v>
      </c>
      <c r="H802" s="16" t="s">
        <v>31</v>
      </c>
      <c r="I802" s="16" t="s">
        <v>32</v>
      </c>
      <c r="K802" s="45" t="s">
        <v>46</v>
      </c>
    </row>
    <row r="803" ht="14.25">
      <c r="B803" s="37">
        <v>45932</v>
      </c>
      <c r="C803" s="16">
        <v>43</v>
      </c>
      <c r="D803" s="16" t="s">
        <v>153</v>
      </c>
      <c r="E803" s="45" t="s">
        <v>154</v>
      </c>
      <c r="F803" s="16">
        <v>3</v>
      </c>
      <c r="G803" s="16" t="s">
        <v>43</v>
      </c>
      <c r="H803" s="16" t="s">
        <v>31</v>
      </c>
      <c r="I803" s="16" t="s">
        <v>32</v>
      </c>
      <c r="K803" s="45" t="s">
        <v>46</v>
      </c>
    </row>
    <row r="804" ht="14.25">
      <c r="B804" s="37">
        <v>45939</v>
      </c>
      <c r="C804" s="16">
        <v>45</v>
      </c>
      <c r="D804" s="16" t="s">
        <v>153</v>
      </c>
      <c r="E804" s="45" t="s">
        <v>154</v>
      </c>
      <c r="F804" s="16">
        <v>3</v>
      </c>
      <c r="G804" s="16" t="s">
        <v>43</v>
      </c>
      <c r="H804" s="16" t="s">
        <v>31</v>
      </c>
      <c r="I804" s="16" t="s">
        <v>32</v>
      </c>
      <c r="K804" s="45" t="s">
        <v>46</v>
      </c>
    </row>
    <row r="805" ht="14.25">
      <c r="B805" s="37">
        <v>45946</v>
      </c>
      <c r="C805" s="16">
        <v>43</v>
      </c>
      <c r="D805" s="16" t="s">
        <v>153</v>
      </c>
      <c r="E805" s="45" t="s">
        <v>154</v>
      </c>
      <c r="F805" s="16">
        <v>3</v>
      </c>
      <c r="G805" s="16" t="s">
        <v>43</v>
      </c>
      <c r="H805" s="16" t="s">
        <v>31</v>
      </c>
      <c r="I805" s="16" t="s">
        <v>32</v>
      </c>
      <c r="K805" s="45" t="s">
        <v>46</v>
      </c>
    </row>
    <row r="806" ht="14.25">
      <c r="B806" s="37">
        <v>45953</v>
      </c>
      <c r="C806" s="16">
        <v>44</v>
      </c>
      <c r="D806" s="16" t="s">
        <v>153</v>
      </c>
      <c r="E806" s="45" t="s">
        <v>154</v>
      </c>
      <c r="F806" s="16">
        <v>3</v>
      </c>
      <c r="G806" s="16" t="s">
        <v>43</v>
      </c>
      <c r="H806" s="16" t="s">
        <v>31</v>
      </c>
      <c r="I806" s="16" t="s">
        <v>32</v>
      </c>
      <c r="K806" s="45" t="s">
        <v>46</v>
      </c>
    </row>
    <row r="807" ht="14.25">
      <c r="B807" s="37">
        <v>45960</v>
      </c>
      <c r="C807" s="16">
        <v>43</v>
      </c>
      <c r="D807" s="16" t="s">
        <v>153</v>
      </c>
      <c r="E807" s="45" t="s">
        <v>154</v>
      </c>
      <c r="F807" s="16">
        <v>3</v>
      </c>
      <c r="G807" s="16" t="s">
        <v>43</v>
      </c>
      <c r="H807" s="16" t="s">
        <v>31</v>
      </c>
      <c r="I807" s="16" t="s">
        <v>32</v>
      </c>
      <c r="K807" s="45" t="s">
        <v>46</v>
      </c>
    </row>
    <row r="808" ht="14.25">
      <c r="B808" s="37">
        <v>45967</v>
      </c>
      <c r="C808" s="16">
        <v>40</v>
      </c>
      <c r="D808" s="16" t="s">
        <v>153</v>
      </c>
      <c r="E808" s="45" t="s">
        <v>154</v>
      </c>
      <c r="F808" s="16">
        <v>3</v>
      </c>
      <c r="G808" s="16" t="s">
        <v>43</v>
      </c>
      <c r="H808" s="16" t="s">
        <v>31</v>
      </c>
      <c r="I808" s="16" t="s">
        <v>32</v>
      </c>
      <c r="K808" s="45" t="s">
        <v>46</v>
      </c>
    </row>
    <row r="809" ht="14.25">
      <c r="B809" s="37">
        <v>45974</v>
      </c>
      <c r="C809" s="16">
        <v>42</v>
      </c>
      <c r="D809" s="16" t="s">
        <v>153</v>
      </c>
      <c r="E809" s="45" t="s">
        <v>154</v>
      </c>
      <c r="F809" s="16">
        <v>3</v>
      </c>
      <c r="G809" s="16" t="s">
        <v>43</v>
      </c>
      <c r="H809" s="16" t="s">
        <v>31</v>
      </c>
      <c r="I809" s="16" t="s">
        <v>32</v>
      </c>
      <c r="K809" s="45" t="s">
        <v>46</v>
      </c>
    </row>
    <row r="810" ht="14.25">
      <c r="B810" s="37">
        <v>45981</v>
      </c>
      <c r="C810" s="16">
        <v>44</v>
      </c>
      <c r="D810" s="16" t="s">
        <v>153</v>
      </c>
      <c r="E810" s="45" t="s">
        <v>154</v>
      </c>
      <c r="F810" s="16">
        <v>3</v>
      </c>
      <c r="G810" s="16" t="s">
        <v>43</v>
      </c>
      <c r="H810" s="16" t="s">
        <v>31</v>
      </c>
      <c r="I810" s="16" t="s">
        <v>32</v>
      </c>
      <c r="K810" s="45" t="s">
        <v>46</v>
      </c>
    </row>
    <row r="811" ht="14.25">
      <c r="B811" s="37">
        <v>45988</v>
      </c>
      <c r="C811" s="16">
        <v>43</v>
      </c>
      <c r="D811" s="16" t="s">
        <v>153</v>
      </c>
      <c r="E811" s="45" t="s">
        <v>154</v>
      </c>
      <c r="F811" s="16">
        <v>3</v>
      </c>
      <c r="G811" s="16" t="s">
        <v>43</v>
      </c>
      <c r="H811" s="16" t="s">
        <v>31</v>
      </c>
      <c r="I811" s="16" t="s">
        <v>32</v>
      </c>
      <c r="K811" s="45" t="s">
        <v>46</v>
      </c>
    </row>
    <row r="812" ht="14.25">
      <c r="B812" s="37">
        <v>45995</v>
      </c>
      <c r="C812" s="16">
        <v>43</v>
      </c>
      <c r="D812" s="16" t="s">
        <v>153</v>
      </c>
      <c r="E812" s="45" t="s">
        <v>154</v>
      </c>
      <c r="F812" s="16">
        <v>3</v>
      </c>
      <c r="G812" s="16" t="s">
        <v>43</v>
      </c>
      <c r="H812" s="16" t="s">
        <v>31</v>
      </c>
      <c r="I812" s="16" t="s">
        <v>32</v>
      </c>
      <c r="K812" s="45" t="s">
        <v>46</v>
      </c>
    </row>
    <row r="813" ht="14.25">
      <c r="B813" s="37">
        <v>46002</v>
      </c>
      <c r="C813" s="16">
        <v>43</v>
      </c>
      <c r="D813" s="16" t="s">
        <v>153</v>
      </c>
      <c r="E813" s="45" t="s">
        <v>154</v>
      </c>
      <c r="F813" s="16">
        <v>3</v>
      </c>
      <c r="G813" s="16" t="s">
        <v>43</v>
      </c>
      <c r="H813" s="16" t="s">
        <v>31</v>
      </c>
      <c r="I813" s="16" t="s">
        <v>32</v>
      </c>
      <c r="K813" s="45" t="s">
        <v>46</v>
      </c>
    </row>
    <row r="814" ht="14.25">
      <c r="B814" s="37">
        <v>46009</v>
      </c>
      <c r="C814" s="16">
        <v>39</v>
      </c>
      <c r="D814" s="16" t="s">
        <v>153</v>
      </c>
      <c r="E814" s="45" t="s">
        <v>154</v>
      </c>
      <c r="F814" s="16">
        <v>3</v>
      </c>
      <c r="G814" s="16" t="s">
        <v>43</v>
      </c>
      <c r="H814" s="16" t="s">
        <v>31</v>
      </c>
      <c r="I814" s="16" t="s">
        <v>32</v>
      </c>
      <c r="K814" s="45" t="s">
        <v>46</v>
      </c>
    </row>
    <row r="815" ht="14.25">
      <c r="B815" s="37">
        <v>46016</v>
      </c>
      <c r="C815" s="16">
        <v>40</v>
      </c>
      <c r="D815" s="16" t="s">
        <v>153</v>
      </c>
      <c r="E815" s="45" t="s">
        <v>154</v>
      </c>
      <c r="F815" s="16">
        <v>3</v>
      </c>
      <c r="G815" s="16" t="s">
        <v>43</v>
      </c>
      <c r="H815" s="16" t="s">
        <v>31</v>
      </c>
      <c r="I815" s="16" t="s">
        <v>32</v>
      </c>
      <c r="K815" s="45" t="s">
        <v>46</v>
      </c>
    </row>
    <row r="816" ht="14.25">
      <c r="B816" s="37">
        <v>46037</v>
      </c>
      <c r="C816" s="16">
        <v>37</v>
      </c>
      <c r="D816" s="16" t="s">
        <v>153</v>
      </c>
      <c r="E816" s="45" t="s">
        <v>154</v>
      </c>
      <c r="F816" s="16">
        <v>3</v>
      </c>
      <c r="G816" s="16" t="s">
        <v>43</v>
      </c>
      <c r="H816" s="16" t="s">
        <v>31</v>
      </c>
      <c r="I816" s="16" t="s">
        <v>32</v>
      </c>
      <c r="K816" s="45" t="s">
        <v>46</v>
      </c>
    </row>
    <row r="817" ht="14.25">
      <c r="B817" s="37">
        <v>46044</v>
      </c>
      <c r="C817" s="16">
        <v>42</v>
      </c>
      <c r="D817" s="16" t="s">
        <v>153</v>
      </c>
      <c r="E817" s="45" t="s">
        <v>154</v>
      </c>
      <c r="F817" s="16">
        <v>3</v>
      </c>
      <c r="G817" s="16" t="s">
        <v>43</v>
      </c>
      <c r="H817" s="16" t="s">
        <v>31</v>
      </c>
      <c r="I817" s="16" t="s">
        <v>32</v>
      </c>
      <c r="K817" s="45" t="s">
        <v>46</v>
      </c>
    </row>
    <row r="818" ht="14.25">
      <c r="B818" s="37">
        <v>46051</v>
      </c>
      <c r="C818" s="16">
        <v>44</v>
      </c>
      <c r="D818" s="16" t="s">
        <v>153</v>
      </c>
      <c r="E818" s="45" t="s">
        <v>154</v>
      </c>
      <c r="F818" s="16">
        <v>3</v>
      </c>
      <c r="G818" s="16" t="s">
        <v>43</v>
      </c>
      <c r="H818" s="16" t="s">
        <v>31</v>
      </c>
      <c r="I818" s="16" t="s">
        <v>32</v>
      </c>
      <c r="K818" s="45" t="s">
        <v>46</v>
      </c>
    </row>
    <row r="819" ht="14.25">
      <c r="B819" s="37">
        <v>46058</v>
      </c>
      <c r="C819" s="16">
        <v>48</v>
      </c>
      <c r="D819" s="16" t="s">
        <v>153</v>
      </c>
      <c r="E819" s="45" t="s">
        <v>154</v>
      </c>
      <c r="F819" s="16">
        <v>3</v>
      </c>
      <c r="G819" s="16" t="s">
        <v>43</v>
      </c>
      <c r="H819" s="16" t="s">
        <v>31</v>
      </c>
      <c r="I819" s="16" t="s">
        <v>32</v>
      </c>
      <c r="K819" s="45" t="s">
        <v>46</v>
      </c>
    </row>
    <row r="820" ht="14.25">
      <c r="B820" s="37">
        <v>46065</v>
      </c>
      <c r="C820" s="16">
        <v>50</v>
      </c>
      <c r="D820" s="16" t="s">
        <v>153</v>
      </c>
      <c r="E820" s="45" t="s">
        <v>154</v>
      </c>
      <c r="F820" s="16">
        <v>3</v>
      </c>
      <c r="G820" s="16" t="s">
        <v>43</v>
      </c>
      <c r="H820" s="16" t="s">
        <v>31</v>
      </c>
      <c r="I820" s="16" t="s">
        <v>32</v>
      </c>
      <c r="K820" s="45" t="s">
        <v>46</v>
      </c>
    </row>
    <row r="821" ht="14.25">
      <c r="B821" s="37">
        <v>46072</v>
      </c>
      <c r="C821" s="16">
        <v>48</v>
      </c>
      <c r="D821" s="16" t="s">
        <v>153</v>
      </c>
      <c r="E821" s="45" t="s">
        <v>154</v>
      </c>
      <c r="F821" s="16">
        <v>3</v>
      </c>
      <c r="G821" s="16" t="s">
        <v>43</v>
      </c>
      <c r="H821" s="16" t="s">
        <v>31</v>
      </c>
      <c r="I821" s="16" t="s">
        <v>32</v>
      </c>
      <c r="K821" s="45" t="s">
        <v>46</v>
      </c>
    </row>
    <row r="822" ht="14.25">
      <c r="B822" s="37">
        <v>46079</v>
      </c>
      <c r="C822" s="16">
        <v>48</v>
      </c>
      <c r="D822" s="16" t="s">
        <v>153</v>
      </c>
      <c r="E822" s="45" t="s">
        <v>154</v>
      </c>
      <c r="F822" s="16">
        <v>3</v>
      </c>
      <c r="G822" s="16" t="s">
        <v>43</v>
      </c>
      <c r="H822" s="16" t="s">
        <v>31</v>
      </c>
      <c r="I822" s="16" t="s">
        <v>32</v>
      </c>
      <c r="K822" s="45" t="s">
        <v>46</v>
      </c>
    </row>
    <row r="823" ht="14.25">
      <c r="B823" s="37">
        <v>46093</v>
      </c>
      <c r="C823" s="16">
        <v>49</v>
      </c>
      <c r="D823" s="16" t="s">
        <v>153</v>
      </c>
      <c r="E823" s="45" t="s">
        <v>154</v>
      </c>
      <c r="F823" s="16">
        <v>3</v>
      </c>
      <c r="G823" s="16" t="s">
        <v>43</v>
      </c>
      <c r="H823" s="16" t="s">
        <v>31</v>
      </c>
      <c r="I823" s="16" t="s">
        <v>32</v>
      </c>
      <c r="K823" s="45" t="s">
        <v>46</v>
      </c>
    </row>
    <row r="824" ht="14.25">
      <c r="B824" s="37">
        <v>46100</v>
      </c>
      <c r="C824" s="16">
        <v>47</v>
      </c>
      <c r="D824" s="16" t="s">
        <v>153</v>
      </c>
      <c r="E824" s="45" t="s">
        <v>154</v>
      </c>
      <c r="F824" s="16">
        <v>3</v>
      </c>
      <c r="G824" s="16" t="s">
        <v>43</v>
      </c>
      <c r="H824" s="16" t="s">
        <v>31</v>
      </c>
      <c r="I824" s="16" t="s">
        <v>32</v>
      </c>
      <c r="K824" s="45" t="s">
        <v>46</v>
      </c>
    </row>
    <row r="825" ht="14.25">
      <c r="B825" s="37">
        <v>46107</v>
      </c>
      <c r="C825" s="16">
        <v>47</v>
      </c>
      <c r="D825" s="16" t="s">
        <v>153</v>
      </c>
      <c r="E825" s="45" t="s">
        <v>154</v>
      </c>
      <c r="F825" s="16">
        <v>3</v>
      </c>
      <c r="G825" s="16" t="s">
        <v>43</v>
      </c>
      <c r="H825" s="16" t="s">
        <v>31</v>
      </c>
      <c r="I825" s="16" t="s">
        <v>32</v>
      </c>
      <c r="K825" s="45" t="s">
        <v>46</v>
      </c>
    </row>
    <row r="826" ht="14.25">
      <c r="B826" s="37">
        <v>46114</v>
      </c>
      <c r="C826" s="16">
        <v>48</v>
      </c>
      <c r="D826" s="16" t="s">
        <v>153</v>
      </c>
      <c r="E826" s="45" t="s">
        <v>154</v>
      </c>
      <c r="F826" s="16">
        <v>3</v>
      </c>
      <c r="G826" s="16" t="s">
        <v>43</v>
      </c>
      <c r="H826" s="16" t="s">
        <v>31</v>
      </c>
      <c r="I826" s="16" t="s">
        <v>32</v>
      </c>
      <c r="K826" s="45" t="s">
        <v>46</v>
      </c>
    </row>
    <row r="827" ht="14.25">
      <c r="B827" s="37">
        <v>45897</v>
      </c>
      <c r="C827" s="29">
        <v>48</v>
      </c>
      <c r="D827" s="16" t="s">
        <v>155</v>
      </c>
      <c r="E827" s="45" t="s">
        <v>156</v>
      </c>
      <c r="F827" s="16">
        <v>3</v>
      </c>
      <c r="G827" s="16" t="s">
        <v>43</v>
      </c>
      <c r="H827" s="16" t="s">
        <v>31</v>
      </c>
      <c r="I827" s="16" t="s">
        <v>32</v>
      </c>
      <c r="J827" s="16"/>
      <c r="K827" s="45" t="s">
        <v>46</v>
      </c>
    </row>
    <row r="828" ht="14.25">
      <c r="B828" s="37">
        <v>45904</v>
      </c>
      <c r="C828" s="29">
        <v>48</v>
      </c>
      <c r="D828" s="16" t="s">
        <v>155</v>
      </c>
      <c r="E828" s="45" t="s">
        <v>156</v>
      </c>
      <c r="F828" s="16">
        <v>3</v>
      </c>
      <c r="G828" s="16" t="s">
        <v>43</v>
      </c>
      <c r="H828" s="16" t="s">
        <v>31</v>
      </c>
      <c r="I828" s="16" t="s">
        <v>32</v>
      </c>
      <c r="J828" s="16"/>
      <c r="K828" s="45" t="s">
        <v>46</v>
      </c>
    </row>
    <row r="829" ht="14.25">
      <c r="B829" s="37">
        <v>45911</v>
      </c>
      <c r="C829" s="29">
        <v>48</v>
      </c>
      <c r="D829" s="16" t="s">
        <v>155</v>
      </c>
      <c r="E829" s="45" t="s">
        <v>156</v>
      </c>
      <c r="F829" s="16">
        <v>3</v>
      </c>
      <c r="G829" s="16" t="s">
        <v>43</v>
      </c>
      <c r="H829" s="16" t="s">
        <v>31</v>
      </c>
      <c r="I829" s="16" t="s">
        <v>32</v>
      </c>
      <c r="J829" s="16"/>
      <c r="K829" s="45" t="s">
        <v>46</v>
      </c>
    </row>
    <row r="830" ht="14.25">
      <c r="B830" s="37">
        <v>45918</v>
      </c>
      <c r="C830" s="29">
        <v>49</v>
      </c>
      <c r="D830" s="16" t="s">
        <v>155</v>
      </c>
      <c r="E830" s="45" t="s">
        <v>156</v>
      </c>
      <c r="F830" s="16">
        <v>3</v>
      </c>
      <c r="G830" s="16" t="s">
        <v>43</v>
      </c>
      <c r="H830" s="16" t="s">
        <v>31</v>
      </c>
      <c r="I830" s="16" t="s">
        <v>32</v>
      </c>
      <c r="J830" s="16"/>
      <c r="K830" s="45" t="s">
        <v>46</v>
      </c>
    </row>
    <row r="831" ht="14.25">
      <c r="B831" s="37">
        <v>45925</v>
      </c>
      <c r="C831" s="29">
        <v>50</v>
      </c>
      <c r="D831" s="16" t="s">
        <v>155</v>
      </c>
      <c r="E831" s="45" t="s">
        <v>156</v>
      </c>
      <c r="F831" s="16">
        <v>3</v>
      </c>
      <c r="G831" s="16" t="s">
        <v>43</v>
      </c>
      <c r="H831" s="16" t="s">
        <v>31</v>
      </c>
      <c r="I831" s="16" t="s">
        <v>32</v>
      </c>
      <c r="J831" s="16"/>
      <c r="K831" s="45" t="s">
        <v>46</v>
      </c>
    </row>
    <row r="832" ht="14.25">
      <c r="B832" s="37">
        <v>45932</v>
      </c>
      <c r="C832" s="29">
        <v>53</v>
      </c>
      <c r="D832" s="16" t="s">
        <v>155</v>
      </c>
      <c r="E832" s="45" t="s">
        <v>156</v>
      </c>
      <c r="F832" s="16">
        <v>3</v>
      </c>
      <c r="G832" s="16" t="s">
        <v>43</v>
      </c>
      <c r="H832" s="16" t="s">
        <v>31</v>
      </c>
      <c r="I832" s="16" t="s">
        <v>32</v>
      </c>
      <c r="J832" s="16"/>
      <c r="K832" s="45" t="s">
        <v>46</v>
      </c>
    </row>
    <row r="833" ht="14.25">
      <c r="B833" s="37">
        <v>45939</v>
      </c>
      <c r="C833" s="29">
        <v>52</v>
      </c>
      <c r="D833" s="16" t="s">
        <v>155</v>
      </c>
      <c r="E833" s="45" t="s">
        <v>156</v>
      </c>
      <c r="F833" s="16">
        <v>3</v>
      </c>
      <c r="G833" s="16" t="s">
        <v>43</v>
      </c>
      <c r="H833" s="16" t="s">
        <v>31</v>
      </c>
      <c r="I833" s="16" t="s">
        <v>32</v>
      </c>
      <c r="J833" s="16"/>
      <c r="K833" s="45" t="s">
        <v>46</v>
      </c>
    </row>
    <row r="834" ht="14.25">
      <c r="B834" s="37">
        <v>45946</v>
      </c>
      <c r="C834" s="29">
        <v>51</v>
      </c>
      <c r="D834" s="16" t="s">
        <v>155</v>
      </c>
      <c r="E834" s="45" t="s">
        <v>156</v>
      </c>
      <c r="F834" s="16">
        <v>3</v>
      </c>
      <c r="G834" s="16" t="s">
        <v>43</v>
      </c>
      <c r="H834" s="16" t="s">
        <v>31</v>
      </c>
      <c r="I834" s="16" t="s">
        <v>32</v>
      </c>
      <c r="J834" s="16"/>
      <c r="K834" s="45" t="s">
        <v>46</v>
      </c>
    </row>
    <row r="835" ht="14.25">
      <c r="B835" s="37">
        <v>45953</v>
      </c>
      <c r="C835" s="29">
        <v>51</v>
      </c>
      <c r="D835" s="16" t="s">
        <v>155</v>
      </c>
      <c r="E835" s="45" t="s">
        <v>156</v>
      </c>
      <c r="F835" s="16">
        <v>3</v>
      </c>
      <c r="G835" s="16" t="s">
        <v>43</v>
      </c>
      <c r="H835" s="16" t="s">
        <v>31</v>
      </c>
      <c r="I835" s="16" t="s">
        <v>32</v>
      </c>
      <c r="J835" s="16"/>
      <c r="K835" s="45" t="s">
        <v>46</v>
      </c>
    </row>
    <row r="836" ht="14.25">
      <c r="B836" s="37">
        <v>45960</v>
      </c>
      <c r="C836" s="29">
        <v>51</v>
      </c>
      <c r="D836" s="16" t="s">
        <v>155</v>
      </c>
      <c r="E836" s="45" t="s">
        <v>156</v>
      </c>
      <c r="F836" s="16">
        <v>3</v>
      </c>
      <c r="G836" s="16" t="s">
        <v>43</v>
      </c>
      <c r="H836" s="16" t="s">
        <v>31</v>
      </c>
      <c r="I836" s="16" t="s">
        <v>32</v>
      </c>
      <c r="J836" s="16"/>
      <c r="K836" s="45" t="s">
        <v>46</v>
      </c>
    </row>
    <row r="837" ht="14.25">
      <c r="B837" s="37">
        <v>45967</v>
      </c>
      <c r="C837" s="29">
        <v>48</v>
      </c>
      <c r="D837" s="16" t="s">
        <v>155</v>
      </c>
      <c r="E837" s="45" t="s">
        <v>156</v>
      </c>
      <c r="F837" s="16">
        <v>3</v>
      </c>
      <c r="G837" s="16" t="s">
        <v>43</v>
      </c>
      <c r="H837" s="16" t="s">
        <v>31</v>
      </c>
      <c r="I837" s="16" t="s">
        <v>32</v>
      </c>
      <c r="J837" s="16"/>
      <c r="K837" s="45" t="s">
        <v>46</v>
      </c>
    </row>
    <row r="838" ht="14.25">
      <c r="B838" s="37">
        <v>45974</v>
      </c>
      <c r="C838" s="29">
        <v>49</v>
      </c>
      <c r="D838" s="16" t="s">
        <v>155</v>
      </c>
      <c r="E838" s="45" t="s">
        <v>156</v>
      </c>
      <c r="F838" s="16">
        <v>3</v>
      </c>
      <c r="G838" s="16" t="s">
        <v>43</v>
      </c>
      <c r="H838" s="16" t="s">
        <v>31</v>
      </c>
      <c r="I838" s="16" t="s">
        <v>32</v>
      </c>
      <c r="J838" s="16"/>
      <c r="K838" s="45" t="s">
        <v>46</v>
      </c>
    </row>
    <row r="839" ht="14.25">
      <c r="B839" s="37">
        <v>45981</v>
      </c>
      <c r="C839" s="29">
        <v>51</v>
      </c>
      <c r="D839" s="16" t="s">
        <v>155</v>
      </c>
      <c r="E839" s="45" t="s">
        <v>156</v>
      </c>
      <c r="F839" s="16">
        <v>3</v>
      </c>
      <c r="G839" s="16" t="s">
        <v>43</v>
      </c>
      <c r="H839" s="16" t="s">
        <v>31</v>
      </c>
      <c r="I839" s="16" t="s">
        <v>32</v>
      </c>
      <c r="J839" s="16"/>
      <c r="K839" s="45" t="s">
        <v>46</v>
      </c>
    </row>
    <row r="840" ht="14.25">
      <c r="B840" s="37">
        <v>45988</v>
      </c>
      <c r="C840" s="29">
        <v>51</v>
      </c>
      <c r="D840" s="16" t="s">
        <v>155</v>
      </c>
      <c r="E840" s="45" t="s">
        <v>156</v>
      </c>
      <c r="F840" s="16">
        <v>3</v>
      </c>
      <c r="G840" s="16" t="s">
        <v>43</v>
      </c>
      <c r="H840" s="16" t="s">
        <v>31</v>
      </c>
      <c r="I840" s="16" t="s">
        <v>32</v>
      </c>
      <c r="J840" s="16"/>
      <c r="K840" s="45" t="s">
        <v>46</v>
      </c>
    </row>
    <row r="841" ht="14.25">
      <c r="B841" s="37">
        <v>45995</v>
      </c>
      <c r="C841" s="29">
        <v>51</v>
      </c>
      <c r="D841" s="16" t="s">
        <v>155</v>
      </c>
      <c r="E841" s="45" t="s">
        <v>156</v>
      </c>
      <c r="F841" s="16">
        <v>3</v>
      </c>
      <c r="G841" s="16" t="s">
        <v>43</v>
      </c>
      <c r="H841" s="16" t="s">
        <v>31</v>
      </c>
      <c r="I841" s="16" t="s">
        <v>32</v>
      </c>
      <c r="J841" s="16"/>
      <c r="K841" s="45" t="s">
        <v>46</v>
      </c>
    </row>
    <row r="842" ht="14.25">
      <c r="B842" s="37">
        <v>46002</v>
      </c>
      <c r="C842" s="29">
        <v>50</v>
      </c>
      <c r="D842" s="16" t="s">
        <v>155</v>
      </c>
      <c r="E842" s="45" t="s">
        <v>156</v>
      </c>
      <c r="F842" s="16">
        <v>3</v>
      </c>
      <c r="G842" s="16" t="s">
        <v>43</v>
      </c>
      <c r="H842" s="16" t="s">
        <v>31</v>
      </c>
      <c r="I842" s="16" t="s">
        <v>32</v>
      </c>
      <c r="J842" s="16"/>
      <c r="K842" s="45" t="s">
        <v>46</v>
      </c>
    </row>
    <row r="843" ht="14.25">
      <c r="B843" s="37">
        <v>46009</v>
      </c>
      <c r="C843" s="29">
        <v>47</v>
      </c>
      <c r="D843" s="16" t="s">
        <v>155</v>
      </c>
      <c r="E843" s="45" t="s">
        <v>156</v>
      </c>
      <c r="F843" s="16">
        <v>3</v>
      </c>
      <c r="G843" s="16" t="s">
        <v>43</v>
      </c>
      <c r="H843" s="16" t="s">
        <v>31</v>
      </c>
      <c r="I843" s="16" t="s">
        <v>32</v>
      </c>
      <c r="J843" s="16"/>
      <c r="K843" s="45" t="s">
        <v>46</v>
      </c>
    </row>
    <row r="844" ht="14.25">
      <c r="B844" s="37">
        <v>46016</v>
      </c>
      <c r="C844" s="29">
        <v>48</v>
      </c>
      <c r="D844" s="16" t="s">
        <v>155</v>
      </c>
      <c r="E844" s="45" t="s">
        <v>156</v>
      </c>
      <c r="F844" s="16">
        <v>3</v>
      </c>
      <c r="G844" s="16" t="s">
        <v>43</v>
      </c>
      <c r="H844" s="16" t="s">
        <v>31</v>
      </c>
      <c r="I844" s="16" t="s">
        <v>32</v>
      </c>
      <c r="J844" s="16"/>
      <c r="K844" s="45" t="s">
        <v>46</v>
      </c>
    </row>
    <row r="845" ht="14.25">
      <c r="B845" s="37">
        <v>46037</v>
      </c>
      <c r="C845" s="29">
        <v>48</v>
      </c>
      <c r="D845" s="16" t="s">
        <v>155</v>
      </c>
      <c r="E845" s="45" t="s">
        <v>156</v>
      </c>
      <c r="F845" s="16">
        <v>3</v>
      </c>
      <c r="G845" s="16" t="s">
        <v>43</v>
      </c>
      <c r="H845" s="16" t="s">
        <v>31</v>
      </c>
      <c r="I845" s="16" t="s">
        <v>32</v>
      </c>
      <c r="J845" s="16"/>
      <c r="K845" s="45" t="s">
        <v>46</v>
      </c>
    </row>
    <row r="846" ht="14.25">
      <c r="B846" s="37">
        <v>46044</v>
      </c>
      <c r="C846" s="29">
        <v>54</v>
      </c>
      <c r="D846" s="16" t="s">
        <v>155</v>
      </c>
      <c r="E846" s="45" t="s">
        <v>156</v>
      </c>
      <c r="F846" s="16">
        <v>3</v>
      </c>
      <c r="G846" s="16" t="s">
        <v>43</v>
      </c>
      <c r="H846" s="16" t="s">
        <v>31</v>
      </c>
      <c r="I846" s="16" t="s">
        <v>32</v>
      </c>
      <c r="J846" s="16"/>
      <c r="K846" s="45" t="s">
        <v>46</v>
      </c>
    </row>
    <row r="847" ht="14.25">
      <c r="B847" s="37">
        <v>46051</v>
      </c>
      <c r="C847" s="29">
        <v>56.000000000000007</v>
      </c>
      <c r="D847" s="16" t="s">
        <v>155</v>
      </c>
      <c r="E847" s="45" t="s">
        <v>156</v>
      </c>
      <c r="F847" s="16">
        <v>3</v>
      </c>
      <c r="G847" s="16" t="s">
        <v>43</v>
      </c>
      <c r="H847" s="16" t="s">
        <v>31</v>
      </c>
      <c r="I847" s="16" t="s">
        <v>32</v>
      </c>
      <c r="J847" s="16"/>
      <c r="K847" s="45" t="s">
        <v>46</v>
      </c>
    </row>
    <row r="848" ht="14.25">
      <c r="B848" s="37">
        <v>46058</v>
      </c>
      <c r="C848" s="29">
        <v>51</v>
      </c>
      <c r="D848" s="16" t="s">
        <v>155</v>
      </c>
      <c r="E848" s="45" t="s">
        <v>156</v>
      </c>
      <c r="F848" s="16">
        <v>3</v>
      </c>
      <c r="G848" s="16" t="s">
        <v>43</v>
      </c>
      <c r="H848" s="16" t="s">
        <v>31</v>
      </c>
      <c r="I848" s="16" t="s">
        <v>32</v>
      </c>
      <c r="J848" s="16"/>
      <c r="K848" s="45" t="s">
        <v>46</v>
      </c>
    </row>
    <row r="849" ht="14.25">
      <c r="B849" s="37">
        <v>46065</v>
      </c>
      <c r="C849" s="29">
        <v>52</v>
      </c>
      <c r="D849" s="16" t="s">
        <v>155</v>
      </c>
      <c r="E849" s="45" t="s">
        <v>156</v>
      </c>
      <c r="F849" s="16">
        <v>3</v>
      </c>
      <c r="G849" s="16" t="s">
        <v>43</v>
      </c>
      <c r="H849" s="16" t="s">
        <v>31</v>
      </c>
      <c r="I849" s="16" t="s">
        <v>32</v>
      </c>
      <c r="J849" s="16"/>
      <c r="K849" s="45" t="s">
        <v>46</v>
      </c>
    </row>
    <row r="850" ht="14.25">
      <c r="B850" s="37">
        <v>46072</v>
      </c>
      <c r="C850" s="29">
        <v>52</v>
      </c>
      <c r="D850" s="16" t="s">
        <v>155</v>
      </c>
      <c r="E850" s="45" t="s">
        <v>156</v>
      </c>
      <c r="F850" s="16">
        <v>3</v>
      </c>
      <c r="G850" s="16" t="s">
        <v>43</v>
      </c>
      <c r="H850" s="16" t="s">
        <v>31</v>
      </c>
      <c r="I850" s="16" t="s">
        <v>32</v>
      </c>
      <c r="J850" s="16"/>
      <c r="K850" s="45" t="s">
        <v>46</v>
      </c>
    </row>
    <row r="851" ht="14.25">
      <c r="B851" s="37">
        <v>46079</v>
      </c>
      <c r="C851" s="29">
        <v>51</v>
      </c>
      <c r="D851" s="16" t="s">
        <v>155</v>
      </c>
      <c r="E851" s="45" t="s">
        <v>156</v>
      </c>
      <c r="F851" s="16">
        <v>3</v>
      </c>
      <c r="G851" s="16" t="s">
        <v>43</v>
      </c>
      <c r="H851" s="16" t="s">
        <v>31</v>
      </c>
      <c r="I851" s="16" t="s">
        <v>32</v>
      </c>
      <c r="J851" s="16"/>
      <c r="K851" s="45" t="s">
        <v>46</v>
      </c>
    </row>
    <row r="852" ht="14.25">
      <c r="B852" s="37">
        <v>46093</v>
      </c>
      <c r="C852" s="29">
        <v>48</v>
      </c>
      <c r="D852" s="16" t="s">
        <v>155</v>
      </c>
      <c r="E852" s="45" t="s">
        <v>156</v>
      </c>
      <c r="F852" s="16">
        <v>3</v>
      </c>
      <c r="G852" s="16" t="s">
        <v>43</v>
      </c>
      <c r="H852" s="16" t="s">
        <v>31</v>
      </c>
      <c r="I852" s="16" t="s">
        <v>32</v>
      </c>
      <c r="J852" s="16"/>
      <c r="K852" s="45" t="s">
        <v>46</v>
      </c>
    </row>
    <row r="853" ht="14.25">
      <c r="B853" s="37">
        <v>46100</v>
      </c>
      <c r="C853" s="29">
        <v>49</v>
      </c>
      <c r="D853" s="16" t="s">
        <v>155</v>
      </c>
      <c r="E853" s="45" t="s">
        <v>156</v>
      </c>
      <c r="F853" s="16">
        <v>3</v>
      </c>
      <c r="G853" s="16" t="s">
        <v>43</v>
      </c>
      <c r="H853" s="16" t="s">
        <v>31</v>
      </c>
      <c r="I853" s="16" t="s">
        <v>32</v>
      </c>
      <c r="J853" s="16"/>
      <c r="K853" s="45" t="s">
        <v>46</v>
      </c>
    </row>
    <row r="854" ht="14.25">
      <c r="B854" s="37">
        <v>46107</v>
      </c>
      <c r="C854" s="29">
        <v>49</v>
      </c>
      <c r="D854" s="16" t="s">
        <v>155</v>
      </c>
      <c r="E854" s="45" t="s">
        <v>156</v>
      </c>
      <c r="F854" s="16">
        <v>3</v>
      </c>
      <c r="G854" s="16" t="s">
        <v>43</v>
      </c>
      <c r="H854" s="16" t="s">
        <v>31</v>
      </c>
      <c r="I854" s="16" t="s">
        <v>32</v>
      </c>
      <c r="J854" s="16"/>
      <c r="K854" s="45" t="s">
        <v>46</v>
      </c>
    </row>
    <row r="855" ht="14.25">
      <c r="B855" s="37">
        <v>46114</v>
      </c>
      <c r="C855" s="29">
        <v>50</v>
      </c>
      <c r="D855" s="16" t="s">
        <v>155</v>
      </c>
      <c r="E855" s="45" t="s">
        <v>156</v>
      </c>
      <c r="F855" s="16">
        <v>3</v>
      </c>
      <c r="G855" s="16" t="s">
        <v>43</v>
      </c>
      <c r="H855" s="16" t="s">
        <v>31</v>
      </c>
      <c r="I855" s="16" t="s">
        <v>32</v>
      </c>
      <c r="J855" s="16"/>
      <c r="K855" s="45" t="s">
        <v>46</v>
      </c>
    </row>
    <row r="856" ht="14.25">
      <c r="B856" s="37">
        <v>46128</v>
      </c>
      <c r="C856" s="25">
        <v>20</v>
      </c>
      <c r="D856" s="1" t="s">
        <v>28</v>
      </c>
      <c r="E856" s="1" t="s">
        <v>29</v>
      </c>
      <c r="F856" s="16">
        <v>1</v>
      </c>
      <c r="G856" s="16" t="s">
        <v>30</v>
      </c>
      <c r="H856" s="16" t="s">
        <v>31</v>
      </c>
      <c r="I856" s="16" t="s">
        <v>32</v>
      </c>
      <c r="J856" s="16"/>
      <c r="K856" s="16"/>
    </row>
    <row r="857" ht="14.25">
      <c r="B857" s="37">
        <v>46128</v>
      </c>
      <c r="C857" s="34">
        <v>40</v>
      </c>
      <c r="D857" s="33" t="s">
        <v>53</v>
      </c>
      <c r="E857" s="33" t="s">
        <v>54</v>
      </c>
      <c r="F857" s="16">
        <v>1</v>
      </c>
      <c r="G857" s="16" t="s">
        <v>30</v>
      </c>
      <c r="H857" s="16" t="s">
        <v>31</v>
      </c>
      <c r="I857" s="16" t="s">
        <v>32</v>
      </c>
      <c r="J857" s="16"/>
      <c r="K857" s="16"/>
    </row>
    <row r="858" ht="14.25">
      <c r="B858" s="37">
        <v>46135</v>
      </c>
      <c r="C858" s="34">
        <v>40</v>
      </c>
      <c r="D858" s="33" t="s">
        <v>53</v>
      </c>
      <c r="E858" s="33" t="s">
        <v>54</v>
      </c>
      <c r="F858" s="16">
        <v>1</v>
      </c>
      <c r="G858" s="16" t="s">
        <v>30</v>
      </c>
      <c r="H858" s="16" t="s">
        <v>31</v>
      </c>
      <c r="I858" s="16" t="s">
        <v>32</v>
      </c>
      <c r="J858" s="16"/>
      <c r="K858" s="16"/>
    </row>
    <row r="859" ht="14.25">
      <c r="B859" s="37">
        <v>46142</v>
      </c>
      <c r="C859" s="34">
        <v>40</v>
      </c>
      <c r="D859" s="33" t="s">
        <v>53</v>
      </c>
      <c r="E859" s="33" t="s">
        <v>54</v>
      </c>
      <c r="F859" s="16">
        <v>1</v>
      </c>
      <c r="G859" s="16" t="s">
        <v>30</v>
      </c>
      <c r="H859" s="16" t="s">
        <v>31</v>
      </c>
      <c r="I859" s="16" t="s">
        <v>32</v>
      </c>
      <c r="J859" s="16"/>
      <c r="K859" s="16"/>
    </row>
    <row r="860" ht="14.25">
      <c r="B860" s="37">
        <v>46135</v>
      </c>
      <c r="C860" s="25">
        <v>20</v>
      </c>
      <c r="D860" s="1" t="s">
        <v>28</v>
      </c>
      <c r="E860" s="1" t="s">
        <v>29</v>
      </c>
      <c r="F860" s="16">
        <v>1</v>
      </c>
      <c r="G860" s="16" t="s">
        <v>30</v>
      </c>
      <c r="H860" s="16" t="s">
        <v>31</v>
      </c>
      <c r="I860" s="16" t="s">
        <v>32</v>
      </c>
      <c r="J860" s="16"/>
      <c r="K860" s="16"/>
    </row>
    <row r="861" ht="14.25">
      <c r="B861" s="37">
        <v>46142</v>
      </c>
      <c r="C861" s="25">
        <v>20</v>
      </c>
      <c r="D861" s="1" t="s">
        <v>28</v>
      </c>
      <c r="E861" s="1" t="s">
        <v>29</v>
      </c>
      <c r="F861" s="16">
        <v>1</v>
      </c>
      <c r="G861" s="16" t="s">
        <v>30</v>
      </c>
      <c r="H861" s="16" t="s">
        <v>31</v>
      </c>
      <c r="I861" s="16" t="s">
        <v>32</v>
      </c>
      <c r="J861" s="16"/>
      <c r="K861" s="16"/>
    </row>
    <row r="862" ht="14.25">
      <c r="B862" s="37">
        <v>46128</v>
      </c>
      <c r="C862" s="32">
        <v>1346</v>
      </c>
      <c r="D862" s="46" t="s">
        <v>132</v>
      </c>
      <c r="E862" s="46" t="s">
        <v>133</v>
      </c>
      <c r="F862" s="16">
        <v>1</v>
      </c>
      <c r="G862" s="32" t="s">
        <v>30</v>
      </c>
      <c r="H862" s="32" t="s">
        <v>31</v>
      </c>
      <c r="I862" s="32" t="s">
        <v>32</v>
      </c>
    </row>
    <row r="863" ht="14.25">
      <c r="B863" s="37">
        <v>46135</v>
      </c>
      <c r="C863" s="16">
        <v>1108</v>
      </c>
      <c r="D863" s="46" t="s">
        <v>132</v>
      </c>
      <c r="E863" s="46" t="s">
        <v>133</v>
      </c>
      <c r="F863" s="16">
        <v>1</v>
      </c>
      <c r="G863" s="32" t="s">
        <v>30</v>
      </c>
      <c r="H863" s="32" t="s">
        <v>31</v>
      </c>
      <c r="I863" s="32" t="s">
        <v>32</v>
      </c>
    </row>
    <row r="864" ht="14.25">
      <c r="B864" s="37">
        <v>46142</v>
      </c>
      <c r="C864" s="16">
        <v>1157</v>
      </c>
      <c r="D864" s="46" t="s">
        <v>132</v>
      </c>
      <c r="E864" s="46" t="s">
        <v>133</v>
      </c>
      <c r="F864" s="16">
        <v>1</v>
      </c>
      <c r="G864" s="32" t="s">
        <v>30</v>
      </c>
      <c r="H864" s="32" t="s">
        <v>31</v>
      </c>
      <c r="I864" s="32" t="s">
        <v>32</v>
      </c>
    </row>
    <row r="865" ht="14.25">
      <c r="B865" s="37">
        <v>46128</v>
      </c>
      <c r="C865" s="16">
        <v>933</v>
      </c>
      <c r="D865" s="1" t="s">
        <v>134</v>
      </c>
      <c r="E865" s="1" t="s">
        <v>135</v>
      </c>
      <c r="F865" s="16">
        <v>1</v>
      </c>
      <c r="G865" s="16" t="s">
        <v>30</v>
      </c>
      <c r="H865" s="16" t="s">
        <v>31</v>
      </c>
      <c r="I865" s="16" t="s">
        <v>32</v>
      </c>
    </row>
    <row r="866" ht="14.25">
      <c r="B866" s="37">
        <v>46135</v>
      </c>
      <c r="C866" s="16">
        <v>928</v>
      </c>
      <c r="D866" s="1" t="s">
        <v>134</v>
      </c>
      <c r="E866" s="1" t="s">
        <v>135</v>
      </c>
      <c r="F866" s="16">
        <v>1</v>
      </c>
      <c r="G866" s="16" t="s">
        <v>30</v>
      </c>
      <c r="H866" s="16" t="s">
        <v>31</v>
      </c>
      <c r="I866" s="16" t="s">
        <v>32</v>
      </c>
    </row>
    <row r="867" ht="14.25">
      <c r="B867" s="37">
        <v>46142</v>
      </c>
      <c r="C867" s="16">
        <v>936</v>
      </c>
      <c r="D867" s="1" t="s">
        <v>134</v>
      </c>
      <c r="E867" s="1" t="s">
        <v>135</v>
      </c>
      <c r="F867" s="16">
        <v>1</v>
      </c>
      <c r="G867" s="16" t="s">
        <v>30</v>
      </c>
      <c r="H867" s="16" t="s">
        <v>31</v>
      </c>
      <c r="I867" s="16" t="s">
        <v>32</v>
      </c>
    </row>
    <row r="868" ht="14.25">
      <c r="A868" s="47"/>
      <c r="B868" s="37">
        <v>46128</v>
      </c>
      <c r="C868" s="16">
        <v>305</v>
      </c>
      <c r="D868" s="1" t="s">
        <v>138</v>
      </c>
      <c r="E868" s="1" t="s">
        <v>139</v>
      </c>
      <c r="F868" s="16">
        <v>2</v>
      </c>
      <c r="G868" s="16" t="s">
        <v>30</v>
      </c>
      <c r="H868" s="16" t="s">
        <v>31</v>
      </c>
      <c r="I868" s="16" t="s">
        <v>32</v>
      </c>
      <c r="L868" s="46" t="s">
        <v>140</v>
      </c>
    </row>
    <row r="869" ht="14.25">
      <c r="A869" s="37"/>
      <c r="B869" s="37">
        <v>46128</v>
      </c>
      <c r="C869" s="16">
        <v>253</v>
      </c>
      <c r="D869" s="1" t="s">
        <v>138</v>
      </c>
      <c r="E869" s="1" t="s">
        <v>139</v>
      </c>
      <c r="F869" s="16">
        <v>2</v>
      </c>
      <c r="G869" s="16" t="s">
        <v>30</v>
      </c>
      <c r="H869" s="16" t="s">
        <v>31</v>
      </c>
      <c r="I869" s="16" t="s">
        <v>32</v>
      </c>
      <c r="L869" s="46" t="s">
        <v>141</v>
      </c>
    </row>
    <row r="870" ht="14.25">
      <c r="A870" s="37"/>
      <c r="B870" s="37">
        <v>46128</v>
      </c>
      <c r="C870" s="16">
        <v>8</v>
      </c>
      <c r="D870" s="1" t="s">
        <v>138</v>
      </c>
      <c r="E870" s="1" t="s">
        <v>139</v>
      </c>
      <c r="F870" s="16">
        <v>2</v>
      </c>
      <c r="G870" s="16" t="s">
        <v>30</v>
      </c>
      <c r="H870" s="16" t="s">
        <v>31</v>
      </c>
      <c r="I870" s="16" t="s">
        <v>32</v>
      </c>
      <c r="L870" s="46" t="s">
        <v>142</v>
      </c>
    </row>
    <row r="871" ht="14.25">
      <c r="B871" s="37">
        <v>46128</v>
      </c>
      <c r="C871" s="16">
        <v>56</v>
      </c>
      <c r="D871" s="1" t="s">
        <v>138</v>
      </c>
      <c r="E871" s="1" t="s">
        <v>139</v>
      </c>
      <c r="F871" s="16">
        <v>2</v>
      </c>
      <c r="G871" s="16" t="s">
        <v>30</v>
      </c>
      <c r="H871" s="16" t="s">
        <v>31</v>
      </c>
      <c r="I871" s="16" t="s">
        <v>32</v>
      </c>
      <c r="L871" s="46" t="s">
        <v>143</v>
      </c>
    </row>
    <row r="872" ht="14.25">
      <c r="B872" s="37">
        <v>46128</v>
      </c>
      <c r="C872" s="16">
        <v>164</v>
      </c>
      <c r="D872" s="1" t="s">
        <v>138</v>
      </c>
      <c r="E872" s="1" t="s">
        <v>139</v>
      </c>
      <c r="F872" s="16">
        <v>2</v>
      </c>
      <c r="G872" s="16" t="s">
        <v>30</v>
      </c>
      <c r="H872" s="16" t="s">
        <v>31</v>
      </c>
      <c r="I872" s="16" t="s">
        <v>32</v>
      </c>
      <c r="L872" s="46" t="s">
        <v>144</v>
      </c>
    </row>
    <row r="873" ht="14.25">
      <c r="B873" s="37">
        <v>46135</v>
      </c>
      <c r="C873" s="16">
        <v>328</v>
      </c>
      <c r="D873" s="1" t="s">
        <v>138</v>
      </c>
      <c r="E873" s="1" t="s">
        <v>139</v>
      </c>
      <c r="F873" s="16">
        <v>2</v>
      </c>
      <c r="G873" s="16" t="s">
        <v>30</v>
      </c>
      <c r="H873" s="16" t="s">
        <v>31</v>
      </c>
      <c r="I873" s="16" t="s">
        <v>32</v>
      </c>
      <c r="L873" s="46" t="s">
        <v>140</v>
      </c>
    </row>
    <row r="874" ht="14.25">
      <c r="B874" s="37">
        <v>46135</v>
      </c>
      <c r="C874" s="16">
        <v>330</v>
      </c>
      <c r="D874" s="1" t="s">
        <v>138</v>
      </c>
      <c r="E874" s="1" t="s">
        <v>139</v>
      </c>
      <c r="F874" s="16">
        <v>2</v>
      </c>
      <c r="G874" s="16" t="s">
        <v>30</v>
      </c>
      <c r="H874" s="16" t="s">
        <v>31</v>
      </c>
      <c r="I874" s="16" t="s">
        <v>32</v>
      </c>
      <c r="L874" s="46" t="s">
        <v>141</v>
      </c>
    </row>
    <row r="875" ht="14.25">
      <c r="B875" s="37">
        <v>46135</v>
      </c>
      <c r="C875" s="16">
        <v>10</v>
      </c>
      <c r="D875" s="1" t="s">
        <v>138</v>
      </c>
      <c r="E875" s="1" t="s">
        <v>139</v>
      </c>
      <c r="F875" s="16">
        <v>2</v>
      </c>
      <c r="G875" s="16" t="s">
        <v>30</v>
      </c>
      <c r="H875" s="16" t="s">
        <v>31</v>
      </c>
      <c r="I875" s="16" t="s">
        <v>32</v>
      </c>
      <c r="L875" s="46" t="s">
        <v>142</v>
      </c>
    </row>
    <row r="876" ht="14.25">
      <c r="B876" s="37">
        <v>46135</v>
      </c>
      <c r="C876" s="16">
        <v>43</v>
      </c>
      <c r="D876" s="1" t="s">
        <v>138</v>
      </c>
      <c r="E876" s="1" t="s">
        <v>139</v>
      </c>
      <c r="F876" s="16">
        <v>2</v>
      </c>
      <c r="G876" s="16" t="s">
        <v>30</v>
      </c>
      <c r="H876" s="16" t="s">
        <v>31</v>
      </c>
      <c r="I876" s="16" t="s">
        <v>32</v>
      </c>
      <c r="L876" s="46" t="s">
        <v>143</v>
      </c>
    </row>
    <row r="877" ht="14.25">
      <c r="B877" s="37">
        <v>46135</v>
      </c>
      <c r="C877" s="16">
        <v>168</v>
      </c>
      <c r="D877" s="1" t="s">
        <v>138</v>
      </c>
      <c r="E877" s="1" t="s">
        <v>139</v>
      </c>
      <c r="F877" s="16">
        <v>2</v>
      </c>
      <c r="G877" s="16" t="s">
        <v>30</v>
      </c>
      <c r="H877" s="16" t="s">
        <v>31</v>
      </c>
      <c r="I877" s="16" t="s">
        <v>32</v>
      </c>
      <c r="L877" s="46" t="s">
        <v>144</v>
      </c>
    </row>
    <row r="878" ht="14.25">
      <c r="B878" s="37">
        <v>46142</v>
      </c>
      <c r="C878" s="16">
        <v>311</v>
      </c>
      <c r="D878" s="1" t="s">
        <v>138</v>
      </c>
      <c r="E878" s="1" t="s">
        <v>139</v>
      </c>
      <c r="F878" s="16">
        <v>2</v>
      </c>
      <c r="G878" s="16" t="s">
        <v>30</v>
      </c>
      <c r="H878" s="16" t="s">
        <v>31</v>
      </c>
      <c r="I878" s="16" t="s">
        <v>32</v>
      </c>
      <c r="L878" s="46" t="s">
        <v>140</v>
      </c>
    </row>
    <row r="879" ht="14.25">
      <c r="B879" s="37">
        <v>46142</v>
      </c>
      <c r="C879" s="16">
        <v>257</v>
      </c>
      <c r="D879" s="1" t="s">
        <v>138</v>
      </c>
      <c r="E879" s="1" t="s">
        <v>139</v>
      </c>
      <c r="F879" s="16">
        <v>2</v>
      </c>
      <c r="G879" s="16" t="s">
        <v>30</v>
      </c>
      <c r="H879" s="16" t="s">
        <v>31</v>
      </c>
      <c r="I879" s="16" t="s">
        <v>32</v>
      </c>
      <c r="L879" s="46" t="s">
        <v>141</v>
      </c>
    </row>
    <row r="880" ht="14.25">
      <c r="B880" s="37">
        <v>46142</v>
      </c>
      <c r="C880" s="16">
        <v>10</v>
      </c>
      <c r="D880" s="1" t="s">
        <v>138</v>
      </c>
      <c r="E880" s="1" t="s">
        <v>139</v>
      </c>
      <c r="F880" s="16">
        <v>2</v>
      </c>
      <c r="G880" s="16" t="s">
        <v>30</v>
      </c>
      <c r="H880" s="16" t="s">
        <v>31</v>
      </c>
      <c r="I880" s="16" t="s">
        <v>32</v>
      </c>
      <c r="L880" s="46" t="s">
        <v>142</v>
      </c>
    </row>
    <row r="881" ht="14.25">
      <c r="B881" s="37">
        <v>46142</v>
      </c>
      <c r="C881" s="16">
        <v>50</v>
      </c>
      <c r="D881" s="1" t="s">
        <v>138</v>
      </c>
      <c r="E881" s="1" t="s">
        <v>139</v>
      </c>
      <c r="F881" s="16">
        <v>2</v>
      </c>
      <c r="G881" s="16" t="s">
        <v>30</v>
      </c>
      <c r="H881" s="16" t="s">
        <v>31</v>
      </c>
      <c r="I881" s="16" t="s">
        <v>32</v>
      </c>
      <c r="L881" s="46" t="s">
        <v>143</v>
      </c>
    </row>
    <row r="882" ht="14.25">
      <c r="B882" s="37">
        <v>46142</v>
      </c>
      <c r="C882" s="16">
        <v>159</v>
      </c>
      <c r="D882" s="1" t="s">
        <v>138</v>
      </c>
      <c r="E882" s="1" t="s">
        <v>139</v>
      </c>
      <c r="F882" s="16">
        <v>2</v>
      </c>
      <c r="G882" s="16" t="s">
        <v>30</v>
      </c>
      <c r="H882" s="16" t="s">
        <v>31</v>
      </c>
      <c r="I882" s="16" t="s">
        <v>32</v>
      </c>
      <c r="L882" s="46" t="s">
        <v>144</v>
      </c>
    </row>
    <row r="883" ht="14.25">
      <c r="B883" s="37">
        <v>46121</v>
      </c>
      <c r="C883" s="16">
        <v>50</v>
      </c>
      <c r="D883" s="45" t="s">
        <v>153</v>
      </c>
      <c r="E883" s="45" t="s">
        <v>154</v>
      </c>
      <c r="F883" s="16">
        <v>3</v>
      </c>
      <c r="G883" s="16" t="s">
        <v>43</v>
      </c>
      <c r="H883" s="16" t="s">
        <v>31</v>
      </c>
      <c r="I883" s="16" t="s">
        <v>32</v>
      </c>
      <c r="J883" s="16"/>
      <c r="K883" s="45" t="s">
        <v>46</v>
      </c>
    </row>
    <row r="884" ht="14.25">
      <c r="B884" s="37">
        <v>46128</v>
      </c>
      <c r="C884" s="16">
        <v>47</v>
      </c>
      <c r="D884" s="45" t="s">
        <v>153</v>
      </c>
      <c r="E884" s="45" t="s">
        <v>154</v>
      </c>
      <c r="F884" s="16">
        <v>3</v>
      </c>
      <c r="G884" s="16" t="s">
        <v>43</v>
      </c>
      <c r="H884" s="16" t="s">
        <v>31</v>
      </c>
      <c r="I884" s="16" t="s">
        <v>32</v>
      </c>
      <c r="J884" s="16"/>
      <c r="K884" s="45" t="s">
        <v>46</v>
      </c>
    </row>
    <row r="885" ht="14.25">
      <c r="B885" s="37">
        <v>46135</v>
      </c>
      <c r="C885" s="16">
        <v>48</v>
      </c>
      <c r="D885" s="45" t="s">
        <v>153</v>
      </c>
      <c r="E885" s="45" t="s">
        <v>154</v>
      </c>
      <c r="F885" s="16">
        <v>3</v>
      </c>
      <c r="G885" s="16" t="s">
        <v>43</v>
      </c>
      <c r="H885" s="16" t="s">
        <v>31</v>
      </c>
      <c r="I885" s="16" t="s">
        <v>32</v>
      </c>
      <c r="J885" s="16"/>
      <c r="K885" s="45" t="s">
        <v>46</v>
      </c>
    </row>
    <row r="886" ht="14.25">
      <c r="B886" s="37">
        <v>46142</v>
      </c>
      <c r="C886" s="16">
        <v>48</v>
      </c>
      <c r="D886" s="45" t="s">
        <v>153</v>
      </c>
      <c r="E886" s="45" t="s">
        <v>154</v>
      </c>
      <c r="F886" s="16">
        <v>3</v>
      </c>
      <c r="G886" s="16" t="s">
        <v>43</v>
      </c>
      <c r="H886" s="16" t="s">
        <v>31</v>
      </c>
      <c r="I886" s="16" t="s">
        <v>32</v>
      </c>
      <c r="J886" s="16"/>
      <c r="K886" s="45" t="s">
        <v>46</v>
      </c>
    </row>
    <row r="887" ht="14.25">
      <c r="B887" s="37">
        <v>46121</v>
      </c>
      <c r="C887" s="16">
        <v>72</v>
      </c>
      <c r="D887" s="45" t="s">
        <v>155</v>
      </c>
      <c r="E887" s="45" t="s">
        <v>156</v>
      </c>
      <c r="F887" s="16">
        <v>3</v>
      </c>
      <c r="G887" s="16" t="s">
        <v>43</v>
      </c>
      <c r="H887" s="16" t="s">
        <v>31</v>
      </c>
      <c r="I887" s="16" t="s">
        <v>32</v>
      </c>
      <c r="J887" s="16"/>
      <c r="K887" s="45" t="s">
        <v>46</v>
      </c>
    </row>
    <row r="888" ht="14.25">
      <c r="B888" s="37">
        <v>46128</v>
      </c>
      <c r="C888" s="16">
        <v>74</v>
      </c>
      <c r="D888" s="45" t="s">
        <v>155</v>
      </c>
      <c r="E888" s="45" t="s">
        <v>156</v>
      </c>
      <c r="F888" s="16">
        <v>3</v>
      </c>
      <c r="G888" s="16" t="s">
        <v>43</v>
      </c>
      <c r="H888" s="16" t="s">
        <v>31</v>
      </c>
      <c r="I888" s="16" t="s">
        <v>32</v>
      </c>
      <c r="J888" s="16"/>
      <c r="K888" s="45" t="s">
        <v>46</v>
      </c>
    </row>
    <row r="889" ht="14.25">
      <c r="B889" s="37">
        <v>46135</v>
      </c>
      <c r="C889" s="16">
        <v>71</v>
      </c>
      <c r="D889" s="45" t="s">
        <v>155</v>
      </c>
      <c r="E889" s="45" t="s">
        <v>156</v>
      </c>
      <c r="F889" s="16">
        <v>3</v>
      </c>
      <c r="G889" s="16" t="s">
        <v>43</v>
      </c>
      <c r="H889" s="16" t="s">
        <v>31</v>
      </c>
      <c r="I889" s="16" t="s">
        <v>32</v>
      </c>
      <c r="J889" s="16"/>
      <c r="K889" s="45" t="s">
        <v>46</v>
      </c>
    </row>
    <row r="890" ht="14.25">
      <c r="B890" s="37">
        <v>46142</v>
      </c>
      <c r="C890" s="16">
        <v>73</v>
      </c>
      <c r="D890" s="45" t="s">
        <v>155</v>
      </c>
      <c r="E890" s="45" t="s">
        <v>156</v>
      </c>
      <c r="F890" s="16">
        <v>3</v>
      </c>
      <c r="G890" s="16" t="s">
        <v>43</v>
      </c>
      <c r="H890" s="16" t="s">
        <v>31</v>
      </c>
      <c r="I890" s="16" t="s">
        <v>32</v>
      </c>
      <c r="J890" s="16"/>
      <c r="K890" s="45" t="s">
        <v>46</v>
      </c>
    </row>
    <row r="891" ht="14.25">
      <c r="B891" s="37">
        <v>46128</v>
      </c>
      <c r="C891" s="16">
        <v>550</v>
      </c>
      <c r="D891" s="46" t="s">
        <v>136</v>
      </c>
      <c r="E891" s="1" t="s">
        <v>133</v>
      </c>
      <c r="F891" s="16">
        <v>3</v>
      </c>
      <c r="G891" s="16" t="s">
        <v>43</v>
      </c>
      <c r="H891" s="16" t="s">
        <v>31</v>
      </c>
      <c r="I891" s="16" t="s">
        <v>32</v>
      </c>
      <c r="J891" s="16"/>
      <c r="K891" s="45" t="s">
        <v>46</v>
      </c>
      <c r="L891" s="16"/>
    </row>
    <row r="892" ht="14.25">
      <c r="B892" s="37">
        <v>46135</v>
      </c>
      <c r="C892" s="16">
        <v>491</v>
      </c>
      <c r="D892" s="46" t="s">
        <v>136</v>
      </c>
      <c r="E892" s="1" t="s">
        <v>133</v>
      </c>
      <c r="F892" s="16">
        <v>3</v>
      </c>
      <c r="G892" s="16" t="s">
        <v>43</v>
      </c>
      <c r="H892" s="16" t="s">
        <v>31</v>
      </c>
      <c r="I892" s="16" t="s">
        <v>32</v>
      </c>
      <c r="J892" s="16"/>
      <c r="K892" s="45" t="s">
        <v>46</v>
      </c>
      <c r="L892" s="16"/>
    </row>
    <row r="893" ht="14.25">
      <c r="B893" s="37">
        <v>46142</v>
      </c>
      <c r="C893" s="16">
        <v>531</v>
      </c>
      <c r="D893" s="46" t="s">
        <v>136</v>
      </c>
      <c r="E893" s="1" t="s">
        <v>133</v>
      </c>
      <c r="F893" s="16">
        <v>3</v>
      </c>
      <c r="G893" s="16" t="s">
        <v>43</v>
      </c>
      <c r="H893" s="16" t="s">
        <v>31</v>
      </c>
      <c r="I893" s="16" t="s">
        <v>32</v>
      </c>
      <c r="J893" s="16"/>
      <c r="K893" s="45" t="s">
        <v>46</v>
      </c>
      <c r="L893" s="16"/>
    </row>
    <row r="894" ht="14.25">
      <c r="B894" s="37">
        <v>46128</v>
      </c>
      <c r="C894" s="16">
        <v>312</v>
      </c>
      <c r="D894" s="46" t="s">
        <v>137</v>
      </c>
      <c r="E894" s="1" t="s">
        <v>135</v>
      </c>
      <c r="F894" s="16">
        <v>3</v>
      </c>
      <c r="G894" s="16" t="s">
        <v>43</v>
      </c>
      <c r="H894" s="16" t="s">
        <v>31</v>
      </c>
      <c r="I894" s="16" t="s">
        <v>32</v>
      </c>
      <c r="J894" s="16"/>
      <c r="K894" s="45" t="s">
        <v>46</v>
      </c>
      <c r="L894" s="16"/>
    </row>
    <row r="895" ht="14.25">
      <c r="B895" s="37">
        <v>46135</v>
      </c>
      <c r="C895" s="16">
        <v>323</v>
      </c>
      <c r="D895" s="46" t="s">
        <v>137</v>
      </c>
      <c r="E895" s="1" t="s">
        <v>135</v>
      </c>
      <c r="F895" s="16">
        <v>3</v>
      </c>
      <c r="G895" s="16" t="s">
        <v>43</v>
      </c>
      <c r="H895" s="16" t="s">
        <v>31</v>
      </c>
      <c r="I895" s="16" t="s">
        <v>32</v>
      </c>
      <c r="J895" s="16"/>
      <c r="K895" s="45" t="s">
        <v>46</v>
      </c>
      <c r="L895" s="16"/>
    </row>
    <row r="896" ht="14.25">
      <c r="B896" s="37">
        <v>46142</v>
      </c>
      <c r="C896" s="16">
        <v>341</v>
      </c>
      <c r="D896" s="46" t="s">
        <v>137</v>
      </c>
      <c r="E896" s="1" t="s">
        <v>135</v>
      </c>
      <c r="F896" s="16">
        <v>3</v>
      </c>
      <c r="G896" s="16" t="s">
        <v>43</v>
      </c>
      <c r="H896" s="16" t="s">
        <v>31</v>
      </c>
      <c r="I896" s="16" t="s">
        <v>32</v>
      </c>
      <c r="J896" s="16"/>
      <c r="K896" s="45" t="s">
        <v>46</v>
      </c>
      <c r="L896" s="16"/>
    </row>
    <row r="897" ht="14.25">
      <c r="B897" s="37">
        <v>46128</v>
      </c>
      <c r="C897" s="16">
        <v>251</v>
      </c>
      <c r="D897" s="1" t="s">
        <v>146</v>
      </c>
      <c r="E897" s="1" t="s">
        <v>139</v>
      </c>
      <c r="F897" s="16">
        <v>3</v>
      </c>
      <c r="G897" s="16" t="s">
        <v>30</v>
      </c>
      <c r="H897" s="16" t="s">
        <v>31</v>
      </c>
      <c r="I897" s="16" t="s">
        <v>32</v>
      </c>
      <c r="J897" s="1"/>
      <c r="K897" s="46" t="s">
        <v>46</v>
      </c>
    </row>
    <row r="898" ht="14.25">
      <c r="B898" s="37">
        <v>46135</v>
      </c>
      <c r="C898" s="16">
        <v>350</v>
      </c>
      <c r="D898" s="1" t="s">
        <v>146</v>
      </c>
      <c r="E898" s="1" t="s">
        <v>139</v>
      </c>
      <c r="F898" s="16">
        <v>3</v>
      </c>
      <c r="G898" s="16" t="s">
        <v>30</v>
      </c>
      <c r="H898" s="16" t="s">
        <v>31</v>
      </c>
      <c r="I898" s="16" t="s">
        <v>32</v>
      </c>
      <c r="J898" s="1"/>
      <c r="K898" s="46" t="s">
        <v>46</v>
      </c>
    </row>
    <row r="899" ht="14.25">
      <c r="B899" s="37">
        <v>46142</v>
      </c>
      <c r="C899" s="16">
        <v>324</v>
      </c>
      <c r="D899" s="1" t="s">
        <v>146</v>
      </c>
      <c r="E899" s="1" t="s">
        <v>139</v>
      </c>
      <c r="F899" s="16">
        <v>3</v>
      </c>
      <c r="G899" s="16" t="s">
        <v>30</v>
      </c>
      <c r="H899" s="16" t="s">
        <v>31</v>
      </c>
      <c r="I899" s="16" t="s">
        <v>32</v>
      </c>
      <c r="J899" s="1"/>
      <c r="K899" s="46" t="s">
        <v>46</v>
      </c>
    </row>
    <row r="900" ht="14.25">
      <c r="B900" s="37">
        <v>46128</v>
      </c>
      <c r="C900" s="16">
        <v>4.46</v>
      </c>
      <c r="D900" s="1" t="s">
        <v>38</v>
      </c>
      <c r="E900" s="1" t="s">
        <v>39</v>
      </c>
      <c r="F900" s="16">
        <v>1</v>
      </c>
      <c r="G900" s="16" t="s">
        <v>40</v>
      </c>
      <c r="H900" s="16" t="s">
        <v>31</v>
      </c>
      <c r="I900" s="16" t="s">
        <v>32</v>
      </c>
    </row>
    <row r="901" ht="14.25">
      <c r="B901" s="37">
        <v>46135</v>
      </c>
      <c r="C901" s="16">
        <v>4.4299999999999997</v>
      </c>
      <c r="D901" s="1" t="s">
        <v>38</v>
      </c>
      <c r="E901" s="1" t="s">
        <v>39</v>
      </c>
      <c r="F901" s="16">
        <v>1</v>
      </c>
      <c r="G901" s="16" t="s">
        <v>40</v>
      </c>
      <c r="H901" s="16" t="s">
        <v>31</v>
      </c>
      <c r="I901" s="16" t="s">
        <v>32</v>
      </c>
    </row>
    <row r="902" ht="14.25">
      <c r="B902" s="37">
        <v>46142</v>
      </c>
      <c r="C902" s="16">
        <v>3.7200000000000002</v>
      </c>
      <c r="D902" s="1" t="s">
        <v>38</v>
      </c>
      <c r="E902" s="1" t="s">
        <v>39</v>
      </c>
      <c r="F902" s="16">
        <v>1</v>
      </c>
      <c r="G902" s="16" t="s">
        <v>40</v>
      </c>
      <c r="H902" s="16" t="s">
        <v>31</v>
      </c>
      <c r="I902" s="16" t="s">
        <v>32</v>
      </c>
    </row>
    <row r="903" ht="14.25">
      <c r="B903" s="37">
        <v>46128</v>
      </c>
      <c r="C903" s="16">
        <v>5.0599999999999996</v>
      </c>
      <c r="D903" s="1" t="s">
        <v>41</v>
      </c>
      <c r="E903" s="1" t="s">
        <v>42</v>
      </c>
      <c r="F903" s="16">
        <v>1</v>
      </c>
      <c r="G903" s="16" t="s">
        <v>43</v>
      </c>
      <c r="H903" s="16" t="s">
        <v>31</v>
      </c>
      <c r="I903" s="16" t="s">
        <v>32</v>
      </c>
    </row>
    <row r="904" ht="14.25">
      <c r="B904" s="37">
        <v>46135</v>
      </c>
      <c r="C904" s="16">
        <v>4.75</v>
      </c>
      <c r="D904" s="1" t="s">
        <v>41</v>
      </c>
      <c r="E904" s="1" t="s">
        <v>42</v>
      </c>
      <c r="F904" s="16">
        <v>1</v>
      </c>
      <c r="G904" s="16" t="s">
        <v>43</v>
      </c>
      <c r="H904" s="16" t="s">
        <v>31</v>
      </c>
      <c r="I904" s="16" t="s">
        <v>32</v>
      </c>
    </row>
    <row r="905" ht="14.25">
      <c r="B905" s="37">
        <v>46142</v>
      </c>
      <c r="C905" s="16">
        <v>4.5599999999999996</v>
      </c>
      <c r="D905" s="1" t="s">
        <v>41</v>
      </c>
      <c r="E905" s="1" t="s">
        <v>42</v>
      </c>
      <c r="F905" s="16">
        <v>1</v>
      </c>
      <c r="G905" s="16" t="s">
        <v>43</v>
      </c>
      <c r="H905" s="16" t="s">
        <v>31</v>
      </c>
      <c r="I905" s="16" t="s">
        <v>32</v>
      </c>
    </row>
    <row r="906" ht="14.25">
      <c r="B906" s="37">
        <v>46128</v>
      </c>
      <c r="C906" s="16">
        <v>712</v>
      </c>
      <c r="D906" s="1" t="s">
        <v>33</v>
      </c>
      <c r="E906" s="1" t="s">
        <v>34</v>
      </c>
      <c r="F906" s="16">
        <v>1</v>
      </c>
      <c r="G906" s="16" t="s">
        <v>30</v>
      </c>
      <c r="H906" s="16" t="s">
        <v>31</v>
      </c>
      <c r="I906" s="16" t="s">
        <v>32</v>
      </c>
    </row>
    <row r="907" ht="14.25">
      <c r="B907" s="37">
        <v>46135</v>
      </c>
      <c r="C907" s="16">
        <v>662</v>
      </c>
      <c r="D907" s="1" t="s">
        <v>33</v>
      </c>
      <c r="E907" s="1" t="s">
        <v>34</v>
      </c>
      <c r="F907" s="16">
        <v>1</v>
      </c>
      <c r="G907" s="16" t="s">
        <v>30</v>
      </c>
      <c r="H907" s="16" t="s">
        <v>31</v>
      </c>
      <c r="I907" s="16" t="s">
        <v>32</v>
      </c>
    </row>
    <row r="908" ht="14.25">
      <c r="B908" s="37">
        <v>46142</v>
      </c>
      <c r="C908" s="16">
        <v>648</v>
      </c>
      <c r="D908" s="1" t="s">
        <v>33</v>
      </c>
      <c r="E908" s="1" t="s">
        <v>34</v>
      </c>
      <c r="F908" s="16">
        <v>1</v>
      </c>
      <c r="G908" s="16" t="s">
        <v>30</v>
      </c>
      <c r="H908" s="16" t="s">
        <v>31</v>
      </c>
      <c r="I908" s="16" t="s">
        <v>32</v>
      </c>
    </row>
    <row r="909" ht="14.25">
      <c r="B909" s="37">
        <v>46128</v>
      </c>
      <c r="C909" s="16">
        <v>1115</v>
      </c>
      <c r="D909" s="1" t="s">
        <v>35</v>
      </c>
      <c r="E909" s="1" t="s">
        <v>36</v>
      </c>
      <c r="F909" s="16">
        <v>1</v>
      </c>
      <c r="G909" s="16" t="s">
        <v>37</v>
      </c>
      <c r="H909" s="16" t="s">
        <v>31</v>
      </c>
      <c r="I909" s="16" t="s">
        <v>32</v>
      </c>
    </row>
    <row r="910" ht="14.25">
      <c r="B910" s="37">
        <v>46135</v>
      </c>
      <c r="C910" s="16">
        <v>960</v>
      </c>
      <c r="D910" s="1" t="s">
        <v>35</v>
      </c>
      <c r="E910" s="1" t="s">
        <v>36</v>
      </c>
      <c r="F910" s="16">
        <v>1</v>
      </c>
      <c r="G910" s="16" t="s">
        <v>37</v>
      </c>
      <c r="H910" s="16" t="s">
        <v>31</v>
      </c>
      <c r="I910" s="16" t="s">
        <v>32</v>
      </c>
    </row>
    <row r="911" ht="14.25">
      <c r="B911" s="37">
        <v>46142</v>
      </c>
      <c r="C911" s="16">
        <v>1104</v>
      </c>
      <c r="D911" s="1" t="s">
        <v>35</v>
      </c>
      <c r="E911" s="1" t="s">
        <v>36</v>
      </c>
      <c r="F911" s="16">
        <v>1</v>
      </c>
      <c r="G911" s="16" t="s">
        <v>37</v>
      </c>
      <c r="H911" s="16" t="s">
        <v>31</v>
      </c>
      <c r="I911" s="16" t="s">
        <v>32</v>
      </c>
    </row>
    <row r="912" ht="14.25">
      <c r="B912" s="37">
        <v>46128</v>
      </c>
      <c r="C912" s="16">
        <v>393</v>
      </c>
      <c r="D912" s="1" t="s">
        <v>49</v>
      </c>
      <c r="E912" s="1" t="s">
        <v>50</v>
      </c>
      <c r="F912" s="16">
        <v>3</v>
      </c>
      <c r="G912" s="16" t="s">
        <v>30</v>
      </c>
      <c r="H912" s="16" t="s">
        <v>31</v>
      </c>
      <c r="I912" s="16" t="s">
        <v>32</v>
      </c>
      <c r="J912" s="1"/>
      <c r="K912" s="1" t="s">
        <v>46</v>
      </c>
    </row>
    <row r="913" ht="14.25">
      <c r="B913" s="37">
        <v>46135</v>
      </c>
      <c r="C913" s="16">
        <v>367</v>
      </c>
      <c r="D913" s="1" t="s">
        <v>49</v>
      </c>
      <c r="E913" s="1" t="s">
        <v>50</v>
      </c>
      <c r="F913" s="16">
        <v>3</v>
      </c>
      <c r="G913" s="16" t="s">
        <v>30</v>
      </c>
      <c r="H913" s="16" t="s">
        <v>31</v>
      </c>
      <c r="I913" s="16" t="s">
        <v>32</v>
      </c>
      <c r="J913" s="1"/>
      <c r="K913" s="1" t="s">
        <v>46</v>
      </c>
    </row>
    <row r="914" ht="14.25">
      <c r="B914" s="37">
        <v>46142</v>
      </c>
      <c r="C914" s="16">
        <v>394</v>
      </c>
      <c r="D914" s="1" t="s">
        <v>49</v>
      </c>
      <c r="E914" s="1" t="s">
        <v>50</v>
      </c>
      <c r="F914" s="16">
        <v>3</v>
      </c>
      <c r="G914" s="16" t="s">
        <v>30</v>
      </c>
      <c r="H914" s="16" t="s">
        <v>31</v>
      </c>
      <c r="I914" s="16" t="s">
        <v>32</v>
      </c>
      <c r="J914" s="1"/>
      <c r="K914" s="1" t="s">
        <v>46</v>
      </c>
    </row>
    <row r="915" ht="14.25">
      <c r="B915" s="37">
        <v>46128</v>
      </c>
      <c r="C915" s="16">
        <v>550</v>
      </c>
      <c r="D915" s="1" t="s">
        <v>47</v>
      </c>
      <c r="E915" s="46" t="s">
        <v>48</v>
      </c>
      <c r="F915" s="16">
        <v>3</v>
      </c>
      <c r="G915" s="16" t="s">
        <v>37</v>
      </c>
      <c r="H915" s="16" t="s">
        <v>31</v>
      </c>
      <c r="I915" s="16" t="s">
        <v>32</v>
      </c>
      <c r="J915" s="1"/>
      <c r="K915" s="1" t="s">
        <v>46</v>
      </c>
    </row>
    <row r="916" ht="14.25">
      <c r="B916" s="37">
        <v>46135</v>
      </c>
      <c r="C916" s="16">
        <v>492</v>
      </c>
      <c r="D916" s="1" t="s">
        <v>47</v>
      </c>
      <c r="E916" s="46" t="s">
        <v>48</v>
      </c>
      <c r="F916" s="16">
        <v>3</v>
      </c>
      <c r="G916" s="16" t="s">
        <v>37</v>
      </c>
      <c r="H916" s="16" t="s">
        <v>31</v>
      </c>
      <c r="I916" s="16" t="s">
        <v>32</v>
      </c>
      <c r="J916" s="1"/>
      <c r="K916" s="1" t="s">
        <v>46</v>
      </c>
    </row>
    <row r="917" ht="14.25">
      <c r="B917" s="37">
        <v>46142</v>
      </c>
      <c r="C917" s="16">
        <v>531</v>
      </c>
      <c r="D917" s="1" t="s">
        <v>47</v>
      </c>
      <c r="E917" s="46" t="s">
        <v>48</v>
      </c>
      <c r="F917" s="16">
        <v>3</v>
      </c>
      <c r="G917" s="16" t="s">
        <v>37</v>
      </c>
      <c r="H917" s="16" t="s">
        <v>31</v>
      </c>
      <c r="I917" s="16" t="s">
        <v>32</v>
      </c>
      <c r="J917" s="1"/>
      <c r="K917" s="1" t="s">
        <v>46</v>
      </c>
    </row>
    <row r="918" ht="14.25">
      <c r="B918" s="37">
        <v>46128</v>
      </c>
      <c r="C918" s="16">
        <v>31.16</v>
      </c>
      <c r="D918" s="1" t="s">
        <v>44</v>
      </c>
      <c r="E918" s="1" t="s">
        <v>45</v>
      </c>
      <c r="F918" s="16">
        <v>3</v>
      </c>
      <c r="G918" s="16" t="s">
        <v>43</v>
      </c>
      <c r="H918" s="16" t="s">
        <v>31</v>
      </c>
      <c r="I918" s="16" t="s">
        <v>32</v>
      </c>
      <c r="J918" s="1"/>
      <c r="K918" s="1" t="s">
        <v>46</v>
      </c>
    </row>
    <row r="919" ht="14.25">
      <c r="B919" s="37">
        <v>46135</v>
      </c>
      <c r="C919" s="16">
        <v>28.66</v>
      </c>
      <c r="D919" s="1" t="s">
        <v>44</v>
      </c>
      <c r="E919" s="1" t="s">
        <v>45</v>
      </c>
      <c r="F919" s="16">
        <v>3</v>
      </c>
      <c r="G919" s="16" t="s">
        <v>43</v>
      </c>
      <c r="H919" s="16" t="s">
        <v>31</v>
      </c>
      <c r="I919" s="16" t="s">
        <v>32</v>
      </c>
      <c r="J919" s="1"/>
      <c r="K919" s="1" t="s">
        <v>46</v>
      </c>
    </row>
    <row r="920" ht="14.25">
      <c r="B920" s="37">
        <v>46142</v>
      </c>
      <c r="C920" s="16">
        <v>28.09</v>
      </c>
      <c r="D920" s="1" t="s">
        <v>44</v>
      </c>
      <c r="E920" s="1" t="s">
        <v>45</v>
      </c>
      <c r="F920" s="16">
        <v>3</v>
      </c>
      <c r="G920" s="16" t="s">
        <v>43</v>
      </c>
      <c r="H920" s="16" t="s">
        <v>31</v>
      </c>
      <c r="I920" s="16" t="s">
        <v>32</v>
      </c>
      <c r="J920" s="1"/>
      <c r="K920" s="1" t="s">
        <v>46</v>
      </c>
    </row>
    <row r="921" ht="14.25">
      <c r="B921" s="37">
        <v>46128</v>
      </c>
      <c r="C921" s="16">
        <v>1.99</v>
      </c>
      <c r="D921" s="1" t="s">
        <v>51</v>
      </c>
      <c r="E921" s="1" t="s">
        <v>52</v>
      </c>
      <c r="F921" s="16">
        <v>3</v>
      </c>
      <c r="G921" s="16" t="s">
        <v>31</v>
      </c>
      <c r="H921" s="16" t="s">
        <v>31</v>
      </c>
      <c r="I921" s="16" t="s">
        <v>32</v>
      </c>
      <c r="J921" s="1"/>
      <c r="K921" s="1" t="s">
        <v>46</v>
      </c>
    </row>
    <row r="922" ht="14.25">
      <c r="B922" s="37">
        <v>46135</v>
      </c>
      <c r="C922" s="16">
        <v>2.5600000000000001</v>
      </c>
      <c r="D922" s="1" t="s">
        <v>51</v>
      </c>
      <c r="E922" s="1" t="s">
        <v>52</v>
      </c>
      <c r="F922" s="16">
        <v>3</v>
      </c>
      <c r="G922" s="16" t="s">
        <v>31</v>
      </c>
      <c r="H922" s="16" t="s">
        <v>31</v>
      </c>
      <c r="I922" s="16" t="s">
        <v>32</v>
      </c>
      <c r="J922" s="1"/>
      <c r="K922" s="1" t="s">
        <v>46</v>
      </c>
    </row>
    <row r="923" ht="14.25">
      <c r="B923" s="37">
        <v>46142</v>
      </c>
      <c r="C923" s="16">
        <v>2.3999999999999999</v>
      </c>
      <c r="D923" s="1" t="s">
        <v>51</v>
      </c>
      <c r="E923" s="1" t="s">
        <v>52</v>
      </c>
      <c r="F923" s="16">
        <v>3</v>
      </c>
      <c r="G923" s="16" t="s">
        <v>31</v>
      </c>
      <c r="H923" s="16" t="s">
        <v>31</v>
      </c>
      <c r="I923" s="16" t="s">
        <v>32</v>
      </c>
      <c r="J923" s="1"/>
      <c r="K923" s="1" t="s">
        <v>46</v>
      </c>
    </row>
    <row r="924" ht="14.25">
      <c r="C924" s="16"/>
    </row>
  </sheetData>
  <autoFilter ref="B9:P923"/>
  <mergeCells count="2">
    <mergeCell ref="B5:L5"/>
    <mergeCell ref="B8:K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F0"/>
    <outlinePr applyStyles="0" summaryBelow="1" summaryRight="1" showOutlineSymbols="1"/>
    <pageSetUpPr autoPageBreaks="1" fitToPage="0"/>
  </sheetPr>
  <sheetViews>
    <sheetView showRuler="1" topLeftCell="A28" zoomScale="100" workbookViewId="0">
      <pane xSplit="3" topLeftCell="D1" activePane="topRight" state="frozen"/>
      <selection activeCell="B13" activeCellId="0" sqref="B13"/>
    </sheetView>
  </sheetViews>
  <sheetFormatPr defaultRowHeight="14.25"/>
  <cols>
    <col customWidth="1" min="1" max="1" width="23"/>
    <col customWidth="1" min="2" max="2" width="57.8515625"/>
    <col customWidth="1" min="3" max="3" width="14.7109375"/>
    <col customWidth="1" min="4" max="69" width="10.28125"/>
    <col customWidth="1" min="70" max="72" width="8.7109375"/>
  </cols>
  <sheetData>
    <row r="3">
      <c r="A3" t="s">
        <v>157</v>
      </c>
      <c r="D3" t="s">
        <v>158</v>
      </c>
    </row>
    <row r="4" s="48" customFormat="1">
      <c r="A4" t="s">
        <v>159</v>
      </c>
      <c r="B4" t="s">
        <v>20</v>
      </c>
      <c r="C4" t="s">
        <v>26</v>
      </c>
      <c r="D4" s="49">
        <v>45810</v>
      </c>
      <c r="E4" s="49">
        <v>45840</v>
      </c>
      <c r="F4" s="49">
        <v>45897</v>
      </c>
      <c r="G4" s="49">
        <v>45904</v>
      </c>
      <c r="H4" s="49">
        <v>45911</v>
      </c>
      <c r="I4" s="49">
        <v>45918</v>
      </c>
      <c r="J4" s="49">
        <v>45925</v>
      </c>
      <c r="K4" s="49">
        <v>45932</v>
      </c>
      <c r="L4" s="49">
        <v>45939</v>
      </c>
      <c r="M4" s="49">
        <v>45946</v>
      </c>
      <c r="N4" s="49">
        <v>45953</v>
      </c>
      <c r="O4" s="49">
        <v>45960</v>
      </c>
      <c r="P4" s="49">
        <v>45967</v>
      </c>
      <c r="Q4" s="49">
        <v>45974</v>
      </c>
      <c r="R4" s="49">
        <v>45981</v>
      </c>
      <c r="S4" s="49">
        <v>45988</v>
      </c>
      <c r="T4" s="49">
        <v>45995</v>
      </c>
      <c r="U4" s="49">
        <v>46002</v>
      </c>
      <c r="V4" s="49">
        <v>46009</v>
      </c>
      <c r="W4" s="49">
        <v>46016</v>
      </c>
      <c r="X4" s="49">
        <v>46037</v>
      </c>
      <c r="Y4" s="49">
        <v>46044</v>
      </c>
      <c r="Z4" s="49">
        <v>46051</v>
      </c>
      <c r="AA4" s="49">
        <v>46058</v>
      </c>
      <c r="AB4" s="49">
        <v>46065</v>
      </c>
      <c r="AC4" s="49">
        <v>46072</v>
      </c>
      <c r="AD4" s="49">
        <v>46079</v>
      </c>
      <c r="AE4" s="49">
        <v>46086</v>
      </c>
      <c r="AF4" s="49">
        <v>46093</v>
      </c>
      <c r="AG4" s="49">
        <v>46100</v>
      </c>
      <c r="AH4" s="49">
        <v>46107</v>
      </c>
      <c r="AI4" s="49">
        <v>46114</v>
      </c>
      <c r="AJ4" s="49">
        <v>46121</v>
      </c>
      <c r="AK4" s="49">
        <v>46128</v>
      </c>
      <c r="AL4" s="49">
        <v>46135</v>
      </c>
      <c r="AM4" s="49">
        <v>46142</v>
      </c>
    </row>
    <row r="5">
      <c r="A5" s="45">
        <v>1</v>
      </c>
    </row>
    <row r="6">
      <c r="A6" s="50" t="s">
        <v>28</v>
      </c>
      <c r="B6" s="45" t="s">
        <v>29</v>
      </c>
      <c r="C6" s="45" t="s">
        <v>160</v>
      </c>
      <c r="F6">
        <v>34</v>
      </c>
      <c r="G6">
        <v>34</v>
      </c>
      <c r="H6">
        <v>32</v>
      </c>
      <c r="I6">
        <v>32</v>
      </c>
      <c r="J6">
        <v>25</v>
      </c>
      <c r="K6">
        <v>25</v>
      </c>
      <c r="L6">
        <v>25</v>
      </c>
      <c r="M6">
        <v>25</v>
      </c>
      <c r="N6">
        <v>25</v>
      </c>
      <c r="O6">
        <v>23</v>
      </c>
      <c r="P6">
        <v>23</v>
      </c>
      <c r="Q6">
        <v>23</v>
      </c>
      <c r="R6">
        <v>23</v>
      </c>
      <c r="S6">
        <v>25</v>
      </c>
      <c r="T6">
        <v>24</v>
      </c>
      <c r="U6">
        <v>24</v>
      </c>
      <c r="V6">
        <v>16</v>
      </c>
      <c r="W6">
        <v>16</v>
      </c>
      <c r="X6">
        <v>16</v>
      </c>
      <c r="Y6">
        <v>16</v>
      </c>
      <c r="Z6">
        <v>16</v>
      </c>
      <c r="AA6">
        <v>16</v>
      </c>
      <c r="AB6">
        <v>16</v>
      </c>
      <c r="AC6">
        <v>16</v>
      </c>
      <c r="AD6">
        <v>16</v>
      </c>
      <c r="AE6">
        <v>16</v>
      </c>
      <c r="AF6">
        <v>16</v>
      </c>
      <c r="AG6">
        <v>16</v>
      </c>
      <c r="AH6">
        <v>16</v>
      </c>
      <c r="AI6">
        <v>16</v>
      </c>
      <c r="AJ6">
        <v>16</v>
      </c>
      <c r="AK6">
        <v>20</v>
      </c>
      <c r="AL6">
        <v>20</v>
      </c>
      <c r="AM6">
        <v>20</v>
      </c>
    </row>
    <row r="7">
      <c r="A7" s="50" t="s">
        <v>53</v>
      </c>
      <c r="B7" s="45" t="s">
        <v>54</v>
      </c>
      <c r="D7">
        <v>31</v>
      </c>
      <c r="E7">
        <v>34</v>
      </c>
      <c r="F7">
        <v>34</v>
      </c>
      <c r="G7">
        <v>34</v>
      </c>
      <c r="H7">
        <v>34</v>
      </c>
      <c r="I7">
        <v>34</v>
      </c>
      <c r="J7">
        <v>34</v>
      </c>
      <c r="K7">
        <v>34</v>
      </c>
      <c r="L7">
        <v>34</v>
      </c>
      <c r="M7">
        <v>34</v>
      </c>
      <c r="N7">
        <v>34</v>
      </c>
      <c r="O7">
        <v>34</v>
      </c>
      <c r="P7">
        <v>34</v>
      </c>
      <c r="Q7">
        <v>34</v>
      </c>
      <c r="R7">
        <v>34</v>
      </c>
      <c r="S7">
        <v>36</v>
      </c>
      <c r="T7">
        <v>36</v>
      </c>
      <c r="U7">
        <v>36</v>
      </c>
      <c r="V7">
        <v>36</v>
      </c>
      <c r="W7">
        <v>36</v>
      </c>
      <c r="X7">
        <v>36</v>
      </c>
      <c r="Y7">
        <v>36</v>
      </c>
      <c r="Z7">
        <v>36</v>
      </c>
      <c r="AA7">
        <v>36</v>
      </c>
      <c r="AB7">
        <v>36</v>
      </c>
      <c r="AC7">
        <v>36</v>
      </c>
      <c r="AD7">
        <v>36</v>
      </c>
      <c r="AE7">
        <v>36</v>
      </c>
      <c r="AF7">
        <v>36</v>
      </c>
      <c r="AG7">
        <v>36</v>
      </c>
      <c r="AH7">
        <v>36</v>
      </c>
      <c r="AI7">
        <v>36</v>
      </c>
      <c r="AJ7">
        <v>36</v>
      </c>
      <c r="AK7">
        <v>40</v>
      </c>
      <c r="AL7">
        <v>40</v>
      </c>
      <c r="AM7">
        <v>40</v>
      </c>
    </row>
    <row r="8">
      <c r="A8" s="50" t="s">
        <v>55</v>
      </c>
      <c r="B8" s="45" t="s">
        <v>56</v>
      </c>
      <c r="H8">
        <v>-2</v>
      </c>
      <c r="J8">
        <v>-2</v>
      </c>
      <c r="T8">
        <v>-1</v>
      </c>
      <c r="V8">
        <v>-3</v>
      </c>
    </row>
    <row r="9">
      <c r="A9" s="50" t="s">
        <v>60</v>
      </c>
      <c r="B9" s="45" t="s">
        <v>61</v>
      </c>
      <c r="J9">
        <v>-5</v>
      </c>
      <c r="O9">
        <v>-2</v>
      </c>
      <c r="V9">
        <v>-5</v>
      </c>
    </row>
    <row r="10">
      <c r="A10" s="50" t="s">
        <v>65</v>
      </c>
      <c r="B10" s="45" t="s">
        <v>66</v>
      </c>
      <c r="E10">
        <v>3</v>
      </c>
      <c r="S10">
        <v>2</v>
      </c>
      <c r="AK10">
        <v>4</v>
      </c>
    </row>
    <row r="11">
      <c r="A11" s="50" t="s">
        <v>33</v>
      </c>
      <c r="B11" s="45" t="s">
        <v>34</v>
      </c>
      <c r="F11">
        <v>515</v>
      </c>
      <c r="G11">
        <v>546</v>
      </c>
      <c r="H11">
        <v>499</v>
      </c>
      <c r="I11">
        <v>518</v>
      </c>
      <c r="J11">
        <v>497</v>
      </c>
      <c r="K11">
        <v>517</v>
      </c>
      <c r="L11">
        <v>433</v>
      </c>
      <c r="M11">
        <v>448</v>
      </c>
      <c r="N11">
        <v>473</v>
      </c>
      <c r="O11">
        <v>504</v>
      </c>
      <c r="P11">
        <v>573</v>
      </c>
      <c r="Q11">
        <v>516</v>
      </c>
      <c r="R11">
        <v>487</v>
      </c>
      <c r="S11">
        <v>467</v>
      </c>
      <c r="T11">
        <v>499</v>
      </c>
      <c r="U11">
        <v>625</v>
      </c>
      <c r="V11">
        <v>891</v>
      </c>
      <c r="W11">
        <v>903</v>
      </c>
      <c r="X11">
        <v>857</v>
      </c>
      <c r="Y11">
        <v>807</v>
      </c>
      <c r="Z11">
        <v>791</v>
      </c>
      <c r="AA11">
        <v>759</v>
      </c>
      <c r="AB11">
        <v>734</v>
      </c>
      <c r="AC11">
        <v>733</v>
      </c>
      <c r="AD11">
        <v>659</v>
      </c>
      <c r="AE11">
        <v>609</v>
      </c>
      <c r="AF11">
        <v>650</v>
      </c>
      <c r="AG11">
        <v>688</v>
      </c>
      <c r="AH11">
        <v>651</v>
      </c>
      <c r="AI11">
        <v>574</v>
      </c>
      <c r="AJ11">
        <v>635</v>
      </c>
      <c r="AK11">
        <v>712</v>
      </c>
      <c r="AL11">
        <v>662</v>
      </c>
      <c r="AM11">
        <v>648</v>
      </c>
    </row>
    <row r="12">
      <c r="A12" s="50" t="s">
        <v>35</v>
      </c>
      <c r="B12" s="45" t="s">
        <v>36</v>
      </c>
      <c r="F12">
        <v>621</v>
      </c>
      <c r="G12">
        <v>646</v>
      </c>
      <c r="H12">
        <v>599</v>
      </c>
      <c r="I12">
        <v>611</v>
      </c>
      <c r="J12">
        <v>587</v>
      </c>
      <c r="K12">
        <v>612</v>
      </c>
      <c r="L12">
        <v>504</v>
      </c>
      <c r="M12">
        <v>541</v>
      </c>
      <c r="N12">
        <v>551</v>
      </c>
      <c r="O12">
        <v>597</v>
      </c>
      <c r="P12">
        <v>652</v>
      </c>
      <c r="Q12">
        <v>602</v>
      </c>
      <c r="R12">
        <v>586</v>
      </c>
      <c r="S12">
        <v>639</v>
      </c>
      <c r="T12">
        <v>648</v>
      </c>
      <c r="U12">
        <v>998</v>
      </c>
      <c r="V12">
        <v>1605</v>
      </c>
      <c r="W12">
        <v>1628</v>
      </c>
      <c r="X12">
        <v>1496</v>
      </c>
      <c r="Y12">
        <v>1279</v>
      </c>
      <c r="Z12">
        <v>1309</v>
      </c>
      <c r="AA12">
        <v>1071</v>
      </c>
      <c r="AB12">
        <v>1123</v>
      </c>
      <c r="AC12">
        <v>1037</v>
      </c>
      <c r="AD12">
        <v>872</v>
      </c>
      <c r="AE12">
        <v>790</v>
      </c>
      <c r="AF12">
        <v>943</v>
      </c>
      <c r="AG12">
        <v>993</v>
      </c>
      <c r="AH12">
        <v>955</v>
      </c>
      <c r="AI12">
        <v>728</v>
      </c>
      <c r="AJ12">
        <v>893</v>
      </c>
      <c r="AK12">
        <v>1115</v>
      </c>
      <c r="AL12">
        <v>960</v>
      </c>
      <c r="AM12">
        <v>1104</v>
      </c>
    </row>
    <row r="13">
      <c r="A13" s="50" t="s">
        <v>129</v>
      </c>
      <c r="B13" s="45" t="s">
        <v>125</v>
      </c>
      <c r="AI13">
        <v>60</v>
      </c>
    </row>
    <row r="14">
      <c r="A14" s="50" t="s">
        <v>130</v>
      </c>
      <c r="B14" s="45" t="s">
        <v>131</v>
      </c>
      <c r="AI14">
        <v>5.0999999999999996</v>
      </c>
    </row>
    <row r="15">
      <c r="A15" s="50" t="s">
        <v>132</v>
      </c>
      <c r="B15" s="45" t="s">
        <v>133</v>
      </c>
      <c r="F15">
        <v>1534</v>
      </c>
      <c r="G15">
        <v>1250</v>
      </c>
      <c r="H15">
        <v>1340</v>
      </c>
      <c r="I15">
        <v>1217</v>
      </c>
      <c r="J15">
        <v>1378</v>
      </c>
      <c r="K15">
        <v>920</v>
      </c>
      <c r="M15">
        <v>966</v>
      </c>
      <c r="N15">
        <v>1093</v>
      </c>
      <c r="O15">
        <v>1199</v>
      </c>
      <c r="P15">
        <v>1190</v>
      </c>
      <c r="Q15">
        <v>1133</v>
      </c>
      <c r="R15">
        <v>1097</v>
      </c>
      <c r="S15">
        <v>1233</v>
      </c>
      <c r="T15">
        <v>779</v>
      </c>
      <c r="U15">
        <v>1146</v>
      </c>
      <c r="V15">
        <v>1831</v>
      </c>
      <c r="W15">
        <v>1893</v>
      </c>
      <c r="X15">
        <v>1702</v>
      </c>
      <c r="Y15">
        <v>1508</v>
      </c>
      <c r="Z15">
        <v>1522</v>
      </c>
      <c r="AA15">
        <v>1255</v>
      </c>
      <c r="AB15">
        <v>1274</v>
      </c>
      <c r="AC15">
        <v>1206</v>
      </c>
      <c r="AD15">
        <v>1034</v>
      </c>
      <c r="AE15">
        <v>905</v>
      </c>
      <c r="AF15">
        <v>1078</v>
      </c>
      <c r="AG15">
        <v>1111</v>
      </c>
      <c r="AH15">
        <v>1073</v>
      </c>
      <c r="AI15">
        <v>823</v>
      </c>
      <c r="AJ15">
        <v>1011</v>
      </c>
      <c r="AK15">
        <v>1346</v>
      </c>
      <c r="AL15">
        <v>1108</v>
      </c>
      <c r="AM15">
        <v>1157</v>
      </c>
    </row>
    <row r="16">
      <c r="A16" s="50" t="s">
        <v>134</v>
      </c>
      <c r="B16" s="45" t="s">
        <v>135</v>
      </c>
      <c r="F16">
        <v>1493</v>
      </c>
      <c r="G16">
        <v>1739</v>
      </c>
      <c r="H16">
        <v>1539</v>
      </c>
      <c r="I16">
        <v>1480</v>
      </c>
      <c r="J16">
        <v>1488</v>
      </c>
      <c r="K16">
        <v>1298</v>
      </c>
      <c r="M16">
        <v>1275</v>
      </c>
      <c r="N16">
        <v>1337</v>
      </c>
      <c r="O16">
        <v>1437</v>
      </c>
      <c r="P16">
        <v>1243</v>
      </c>
      <c r="Q16">
        <v>1470</v>
      </c>
      <c r="R16">
        <v>1391</v>
      </c>
      <c r="S16">
        <v>1369</v>
      </c>
      <c r="T16">
        <v>949</v>
      </c>
      <c r="U16">
        <v>1046</v>
      </c>
      <c r="V16">
        <v>1299</v>
      </c>
      <c r="W16">
        <v>1610</v>
      </c>
      <c r="X16">
        <v>1335</v>
      </c>
      <c r="Y16">
        <v>1258</v>
      </c>
      <c r="Z16">
        <v>1347</v>
      </c>
      <c r="AA16">
        <v>1180</v>
      </c>
      <c r="AB16">
        <v>1237</v>
      </c>
      <c r="AC16">
        <v>1164</v>
      </c>
      <c r="AD16">
        <v>1064</v>
      </c>
      <c r="AE16">
        <v>933</v>
      </c>
      <c r="AF16">
        <v>1000</v>
      </c>
      <c r="AG16">
        <v>908</v>
      </c>
      <c r="AH16">
        <v>999</v>
      </c>
      <c r="AI16">
        <v>801</v>
      </c>
      <c r="AJ16">
        <v>840</v>
      </c>
      <c r="AK16">
        <v>933</v>
      </c>
      <c r="AL16">
        <v>928</v>
      </c>
      <c r="AM16">
        <v>936</v>
      </c>
    </row>
    <row r="17">
      <c r="A17" s="50" t="s">
        <v>38</v>
      </c>
      <c r="B17" s="45" t="s">
        <v>39</v>
      </c>
      <c r="C17" s="45" t="s">
        <v>160</v>
      </c>
      <c r="F17">
        <v>2.2157953281423803</v>
      </c>
      <c r="G17">
        <v>2.3607907742998351</v>
      </c>
      <c r="H17">
        <v>2.5322230267921797</v>
      </c>
      <c r="I17">
        <v>2.6192821956368753</v>
      </c>
      <c r="J17">
        <v>2.7321474773609311</v>
      </c>
      <c r="K17">
        <v>2.7244967880085653</v>
      </c>
      <c r="L17">
        <v>2.7191525423728811</v>
      </c>
      <c r="M17">
        <v>2.9485117691723617</v>
      </c>
      <c r="N17">
        <v>2.948323983169705</v>
      </c>
      <c r="O17">
        <v>3.2097378277153559</v>
      </c>
      <c r="P17">
        <v>2.4809130645944637</v>
      </c>
      <c r="Q17">
        <v>3.2229976019184652</v>
      </c>
      <c r="R17">
        <v>3.189367710251688</v>
      </c>
      <c r="S17">
        <v>3.4492647058823529</v>
      </c>
      <c r="T17">
        <v>3.2472006890611542</v>
      </c>
      <c r="U17">
        <v>2.9541432019308127</v>
      </c>
      <c r="V17">
        <v>3.0016515276630882</v>
      </c>
      <c r="W17">
        <v>3.3192771084337349</v>
      </c>
      <c r="X17">
        <v>2.7834699453551912</v>
      </c>
      <c r="Y17">
        <v>2.8310469314079421</v>
      </c>
      <c r="Z17">
        <v>3.0996835443037973</v>
      </c>
      <c r="AA17">
        <v>3.6688230584467569</v>
      </c>
      <c r="AB17">
        <v>3.8831677524429971</v>
      </c>
      <c r="AC17">
        <v>3.9102680965147454</v>
      </c>
      <c r="AD17">
        <v>3.9313346228239845</v>
      </c>
      <c r="AE17">
        <v>4.0031088082901558</v>
      </c>
      <c r="AF17">
        <v>4.2475355969331874</v>
      </c>
      <c r="AG17">
        <v>3.732408325074331</v>
      </c>
      <c r="AH17">
        <v>4.2774755168661587</v>
      </c>
      <c r="AI17">
        <v>4.2339707536557931</v>
      </c>
      <c r="AJ17">
        <v>3.6800748362956033</v>
      </c>
      <c r="AK17">
        <v>4.46</v>
      </c>
      <c r="AL17">
        <v>4.4299999999999997</v>
      </c>
      <c r="AM17">
        <v>3.7200000000000002</v>
      </c>
    </row>
    <row r="18">
      <c r="A18" s="50" t="s">
        <v>41</v>
      </c>
      <c r="B18" s="45" t="s">
        <v>42</v>
      </c>
      <c r="F18">
        <v>3.1382140173559439</v>
      </c>
      <c r="G18">
        <v>3.2756227628022501</v>
      </c>
      <c r="H18">
        <v>2.7303653741366363</v>
      </c>
      <c r="I18">
        <v>2.7194532132410436</v>
      </c>
      <c r="J18">
        <v>3.2892069591581321</v>
      </c>
      <c r="K18">
        <v>2.9816913687881428</v>
      </c>
      <c r="L18">
        <v>2.8400416377515612</v>
      </c>
      <c r="M18">
        <v>2.7733686836092168</v>
      </c>
      <c r="N18">
        <v>2.9374268699463855</v>
      </c>
      <c r="O18">
        <v>3.132497220542628</v>
      </c>
      <c r="P18">
        <v>3.4090909090909087</v>
      </c>
      <c r="Q18">
        <v>2.9072490923995784</v>
      </c>
      <c r="R18">
        <v>2.837806095484174</v>
      </c>
      <c r="S18">
        <v>2.5038417617120867</v>
      </c>
      <c r="T18">
        <v>2.2068492367503287</v>
      </c>
      <c r="U18">
        <v>2.1318523826585452</v>
      </c>
      <c r="V18">
        <v>4.0936533647474596</v>
      </c>
      <c r="W18">
        <v>4.1897033782505417</v>
      </c>
      <c r="X18">
        <v>4.3614913339558612</v>
      </c>
      <c r="Y18">
        <v>3.8925067658998649</v>
      </c>
      <c r="Z18">
        <v>3.5422054521558484</v>
      </c>
      <c r="AA18">
        <v>3.2970267883426549</v>
      </c>
      <c r="AB18">
        <v>3.2176443301142834</v>
      </c>
      <c r="AC18">
        <v>2.8854518065898627</v>
      </c>
      <c r="AD18">
        <v>2.7814288742845026</v>
      </c>
      <c r="AE18">
        <v>2.7144914034047596</v>
      </c>
      <c r="AF18">
        <v>2.5699490698318663</v>
      </c>
      <c r="AG18">
        <v>2.8979686740366528</v>
      </c>
      <c r="AH18">
        <v>2.687156232942856</v>
      </c>
      <c r="AI18">
        <v>2.534100731558198</v>
      </c>
      <c r="AJ18">
        <v>2.9754477974919111</v>
      </c>
      <c r="AK18">
        <v>5.0599999999999996</v>
      </c>
      <c r="AL18">
        <v>4.75</v>
      </c>
      <c r="AM18">
        <v>4.5599999999999996</v>
      </c>
    </row>
    <row r="19">
      <c r="A19" s="45">
        <v>2</v>
      </c>
    </row>
    <row r="20">
      <c r="A20" s="50" t="s">
        <v>138</v>
      </c>
      <c r="B20" s="45" t="s">
        <v>139</v>
      </c>
      <c r="H20">
        <v>924</v>
      </c>
      <c r="I20">
        <v>987</v>
      </c>
      <c r="J20">
        <v>897</v>
      </c>
      <c r="K20">
        <v>854</v>
      </c>
      <c r="L20">
        <v>688</v>
      </c>
      <c r="M20">
        <v>683</v>
      </c>
      <c r="N20">
        <v>806</v>
      </c>
      <c r="O20">
        <v>634</v>
      </c>
      <c r="P20">
        <v>604</v>
      </c>
      <c r="Q20">
        <v>814</v>
      </c>
      <c r="R20">
        <v>905</v>
      </c>
      <c r="S20">
        <v>805</v>
      </c>
      <c r="T20">
        <v>987</v>
      </c>
      <c r="U20">
        <v>702</v>
      </c>
      <c r="V20">
        <v>1037</v>
      </c>
      <c r="W20">
        <v>1546</v>
      </c>
      <c r="X20">
        <v>253</v>
      </c>
      <c r="Y20">
        <v>1608</v>
      </c>
      <c r="Z20">
        <v>1364</v>
      </c>
      <c r="AA20">
        <v>1394</v>
      </c>
      <c r="AB20">
        <v>1185</v>
      </c>
      <c r="AC20">
        <v>1164</v>
      </c>
      <c r="AD20">
        <v>1019</v>
      </c>
      <c r="AE20">
        <v>1024</v>
      </c>
      <c r="AF20">
        <v>858</v>
      </c>
      <c r="AG20">
        <v>1002</v>
      </c>
      <c r="AH20">
        <v>903</v>
      </c>
      <c r="AI20">
        <v>928</v>
      </c>
      <c r="AJ20">
        <v>697</v>
      </c>
      <c r="AK20">
        <v>786</v>
      </c>
      <c r="AL20">
        <v>879</v>
      </c>
      <c r="AM20">
        <v>787</v>
      </c>
    </row>
    <row r="21">
      <c r="A21" s="45">
        <v>3</v>
      </c>
    </row>
    <row r="22">
      <c r="A22" s="50" t="s">
        <v>44</v>
      </c>
      <c r="B22" s="45" t="s">
        <v>45</v>
      </c>
      <c r="F22">
        <v>20.52401746724891</v>
      </c>
      <c r="G22">
        <v>22.194513715710723</v>
      </c>
      <c r="H22">
        <v>22.866476112699061</v>
      </c>
      <c r="I22">
        <v>19.373454245671887</v>
      </c>
      <c r="J22">
        <v>20.268620268620268</v>
      </c>
      <c r="K22">
        <v>20.718232044198896</v>
      </c>
      <c r="L22">
        <v>18.128654970760234</v>
      </c>
      <c r="M22">
        <v>19.519752130131682</v>
      </c>
      <c r="N22">
        <v>19.357462383082556</v>
      </c>
      <c r="O22">
        <v>20.065654493229381</v>
      </c>
      <c r="P22">
        <v>20.471333098839253</v>
      </c>
      <c r="Q22">
        <v>21.08057464084947</v>
      </c>
      <c r="R22">
        <v>20.75530586766542</v>
      </c>
      <c r="S22">
        <v>19.808108944599194</v>
      </c>
      <c r="T22">
        <v>20.744356314826113</v>
      </c>
      <c r="U22">
        <v>22.072985301571212</v>
      </c>
      <c r="V22">
        <v>25.235032162295894</v>
      </c>
      <c r="W22">
        <v>24.383983572895275</v>
      </c>
      <c r="X22">
        <v>25.442604226156483</v>
      </c>
      <c r="Y22">
        <v>23.200428150923198</v>
      </c>
      <c r="Z22">
        <v>21.669980119284293</v>
      </c>
      <c r="AA22">
        <v>17.816813048933501</v>
      </c>
      <c r="AB22">
        <v>16.821724918280108</v>
      </c>
      <c r="AC22">
        <v>16.290726817042607</v>
      </c>
      <c r="AD22">
        <v>15.588578088578089</v>
      </c>
      <c r="AE22">
        <v>16.594332397242788</v>
      </c>
      <c r="AF22">
        <v>15.408986175115208</v>
      </c>
      <c r="AG22">
        <v>18.10850439882698</v>
      </c>
      <c r="AH22">
        <v>16.980670418399804</v>
      </c>
      <c r="AI22">
        <v>16.165598817151306</v>
      </c>
      <c r="AJ22">
        <v>15.484034465281299</v>
      </c>
      <c r="AK22">
        <v>31.16</v>
      </c>
      <c r="AL22">
        <v>28.66</v>
      </c>
      <c r="AM22">
        <v>28.09</v>
      </c>
    </row>
    <row r="23">
      <c r="A23" s="50" t="s">
        <v>86</v>
      </c>
      <c r="B23" s="45" t="s">
        <v>87</v>
      </c>
      <c r="AI23">
        <v>2490</v>
      </c>
    </row>
    <row r="24" ht="14.25">
      <c r="A24" s="50" t="s">
        <v>88</v>
      </c>
      <c r="B24" s="45" t="s">
        <v>89</v>
      </c>
      <c r="AI24">
        <v>2490</v>
      </c>
    </row>
    <row r="25" ht="14.25">
      <c r="A25" s="50" t="s">
        <v>90</v>
      </c>
      <c r="B25" s="45" t="s">
        <v>91</v>
      </c>
      <c r="AI25">
        <v>100</v>
      </c>
    </row>
    <row r="26" ht="14.25">
      <c r="A26" s="50" t="s">
        <v>92</v>
      </c>
      <c r="B26" s="45" t="s">
        <v>93</v>
      </c>
      <c r="AI26">
        <v>100</v>
      </c>
    </row>
    <row r="27" ht="14.25">
      <c r="A27" s="50" t="s">
        <v>94</v>
      </c>
      <c r="B27" s="45" t="s">
        <v>95</v>
      </c>
      <c r="AI27">
        <v>1800</v>
      </c>
    </row>
    <row r="28" ht="14.25">
      <c r="A28" s="50" t="s">
        <v>96</v>
      </c>
      <c r="B28" s="45" t="s">
        <v>97</v>
      </c>
      <c r="AI28">
        <v>72.289156626506028</v>
      </c>
    </row>
    <row r="29" ht="14.25">
      <c r="A29" s="50" t="s">
        <v>98</v>
      </c>
      <c r="B29" s="45" t="s">
        <v>99</v>
      </c>
      <c r="AI29">
        <v>72.289156626506028</v>
      </c>
    </row>
    <row r="30" ht="14.25">
      <c r="A30" s="50" t="s">
        <v>100</v>
      </c>
      <c r="B30" s="45" t="s">
        <v>101</v>
      </c>
      <c r="AI30">
        <v>800</v>
      </c>
    </row>
    <row r="31" ht="14.25">
      <c r="A31" s="50" t="s">
        <v>102</v>
      </c>
      <c r="B31" s="45" t="s">
        <v>103</v>
      </c>
      <c r="AI31">
        <v>44.444444444444443</v>
      </c>
    </row>
    <row r="32" ht="14.25">
      <c r="A32" s="50" t="s">
        <v>104</v>
      </c>
      <c r="B32" s="45" t="s">
        <v>105</v>
      </c>
      <c r="AI32">
        <v>32.128514056224901</v>
      </c>
    </row>
    <row r="33" ht="14.25">
      <c r="A33" s="50" t="s">
        <v>106</v>
      </c>
      <c r="B33" s="45" t="s">
        <v>107</v>
      </c>
      <c r="AI33">
        <v>700</v>
      </c>
    </row>
    <row r="34" ht="14.25">
      <c r="A34" s="50" t="s">
        <v>108</v>
      </c>
      <c r="B34" s="45" t="s">
        <v>109</v>
      </c>
      <c r="AI34">
        <v>87.5</v>
      </c>
    </row>
    <row r="35" ht="14.25">
      <c r="A35" s="50" t="s">
        <v>110</v>
      </c>
      <c r="B35" s="45" t="s">
        <v>111</v>
      </c>
      <c r="AI35">
        <v>28.112449799196789</v>
      </c>
    </row>
    <row r="36" ht="14.25">
      <c r="A36" s="50" t="s">
        <v>112</v>
      </c>
      <c r="B36" s="45" t="s">
        <v>113</v>
      </c>
      <c r="AI36">
        <v>600</v>
      </c>
    </row>
    <row r="37" ht="14.25">
      <c r="A37" s="50" t="s">
        <v>114</v>
      </c>
      <c r="B37" s="45" t="s">
        <v>115</v>
      </c>
      <c r="AI37">
        <v>85.714285714285708</v>
      </c>
    </row>
    <row r="38" ht="14.25">
      <c r="A38" s="50" t="s">
        <v>116</v>
      </c>
      <c r="B38" s="45" t="s">
        <v>117</v>
      </c>
      <c r="AI38">
        <v>24.096385542168676</v>
      </c>
    </row>
    <row r="39" ht="14.25">
      <c r="A39" s="50" t="s">
        <v>118</v>
      </c>
      <c r="B39" s="45" t="s">
        <v>119</v>
      </c>
      <c r="AI39">
        <v>553</v>
      </c>
    </row>
    <row r="40" ht="14.25">
      <c r="A40" s="50" t="s">
        <v>120</v>
      </c>
      <c r="B40" s="45" t="s">
        <v>121</v>
      </c>
      <c r="AI40">
        <v>92.166666666666657</v>
      </c>
    </row>
    <row r="41" ht="14.25">
      <c r="A41" s="50" t="s">
        <v>122</v>
      </c>
      <c r="B41" s="45" t="s">
        <v>123</v>
      </c>
      <c r="AI41">
        <v>22.208835341365464</v>
      </c>
    </row>
    <row r="42" ht="14.25">
      <c r="A42" s="50" t="s">
        <v>124</v>
      </c>
      <c r="B42" s="45" t="s">
        <v>125</v>
      </c>
      <c r="AI42">
        <v>50</v>
      </c>
    </row>
    <row r="43" ht="14.25">
      <c r="A43" s="50" t="s">
        <v>127</v>
      </c>
      <c r="B43" s="45" t="s">
        <v>128</v>
      </c>
      <c r="AI43">
        <v>4.0999999999999996</v>
      </c>
    </row>
    <row r="44" ht="14.25">
      <c r="A44" s="50" t="s">
        <v>136</v>
      </c>
      <c r="B44" s="45" t="s">
        <v>133</v>
      </c>
      <c r="F44">
        <v>381</v>
      </c>
      <c r="G44">
        <v>240</v>
      </c>
      <c r="H44">
        <v>478</v>
      </c>
      <c r="I44">
        <v>307</v>
      </c>
      <c r="J44">
        <v>417</v>
      </c>
      <c r="K44">
        <v>218</v>
      </c>
      <c r="M44">
        <v>329</v>
      </c>
      <c r="N44">
        <v>310</v>
      </c>
      <c r="O44">
        <v>412</v>
      </c>
      <c r="P44">
        <v>215</v>
      </c>
      <c r="Q44">
        <v>349</v>
      </c>
      <c r="R44">
        <v>345</v>
      </c>
      <c r="S44">
        <v>422</v>
      </c>
      <c r="T44">
        <v>261</v>
      </c>
      <c r="U44">
        <v>560</v>
      </c>
      <c r="V44">
        <v>879</v>
      </c>
      <c r="W44">
        <v>897</v>
      </c>
      <c r="X44">
        <v>738</v>
      </c>
      <c r="Y44">
        <v>598</v>
      </c>
      <c r="Z44">
        <v>601</v>
      </c>
      <c r="AA44">
        <v>430</v>
      </c>
      <c r="AB44">
        <v>560</v>
      </c>
      <c r="AC44">
        <v>454</v>
      </c>
      <c r="AD44">
        <v>314</v>
      </c>
      <c r="AE44">
        <v>336</v>
      </c>
      <c r="AF44">
        <v>419</v>
      </c>
      <c r="AG44">
        <v>499</v>
      </c>
      <c r="AH44">
        <v>503</v>
      </c>
      <c r="AI44">
        <v>342</v>
      </c>
      <c r="AJ44">
        <v>378</v>
      </c>
      <c r="AK44">
        <v>550</v>
      </c>
      <c r="AL44">
        <v>491</v>
      </c>
      <c r="AM44">
        <v>531</v>
      </c>
    </row>
    <row r="45" ht="14.25">
      <c r="A45" s="50" t="s">
        <v>137</v>
      </c>
      <c r="B45" s="45" t="s">
        <v>135</v>
      </c>
      <c r="F45">
        <v>188</v>
      </c>
      <c r="G45">
        <v>229</v>
      </c>
      <c r="H45">
        <v>340</v>
      </c>
      <c r="I45">
        <v>283</v>
      </c>
      <c r="J45">
        <v>359</v>
      </c>
      <c r="K45">
        <v>282</v>
      </c>
      <c r="M45">
        <v>369</v>
      </c>
      <c r="N45">
        <v>369</v>
      </c>
      <c r="O45">
        <v>407</v>
      </c>
      <c r="P45">
        <v>262</v>
      </c>
      <c r="Q45">
        <v>360</v>
      </c>
      <c r="R45">
        <v>348</v>
      </c>
      <c r="S45">
        <v>375</v>
      </c>
      <c r="T45">
        <v>281</v>
      </c>
      <c r="U45">
        <v>390</v>
      </c>
      <c r="V45">
        <v>418</v>
      </c>
      <c r="W45">
        <v>504</v>
      </c>
      <c r="X45">
        <v>390</v>
      </c>
      <c r="Y45">
        <v>397</v>
      </c>
      <c r="Z45">
        <v>382</v>
      </c>
      <c r="AA45">
        <v>297</v>
      </c>
      <c r="AB45">
        <v>383</v>
      </c>
      <c r="AC45">
        <v>296</v>
      </c>
      <c r="AD45">
        <v>208</v>
      </c>
      <c r="AE45">
        <v>175</v>
      </c>
      <c r="AF45">
        <v>250</v>
      </c>
      <c r="AG45">
        <v>217</v>
      </c>
      <c r="AH45">
        <v>306</v>
      </c>
      <c r="AI45">
        <v>208</v>
      </c>
      <c r="AJ45">
        <v>242</v>
      </c>
      <c r="AK45">
        <v>312</v>
      </c>
      <c r="AL45">
        <v>323</v>
      </c>
      <c r="AM45">
        <v>341</v>
      </c>
    </row>
    <row r="46" ht="14.25">
      <c r="A46" s="50" t="s">
        <v>146</v>
      </c>
      <c r="B46" s="45" t="s">
        <v>139</v>
      </c>
      <c r="H46">
        <v>178</v>
      </c>
      <c r="I46">
        <v>302</v>
      </c>
      <c r="J46">
        <v>212</v>
      </c>
      <c r="K46">
        <v>263</v>
      </c>
      <c r="L46">
        <v>179</v>
      </c>
      <c r="M46">
        <v>204</v>
      </c>
      <c r="N46">
        <v>249</v>
      </c>
      <c r="O46">
        <v>176</v>
      </c>
      <c r="P46">
        <v>183</v>
      </c>
      <c r="Q46">
        <v>142</v>
      </c>
      <c r="R46">
        <v>272</v>
      </c>
      <c r="S46">
        <v>235</v>
      </c>
      <c r="T46">
        <v>330</v>
      </c>
      <c r="U46">
        <v>229</v>
      </c>
      <c r="V46">
        <v>499</v>
      </c>
      <c r="W46">
        <v>670</v>
      </c>
      <c r="X46">
        <v>109</v>
      </c>
      <c r="Y46">
        <v>640</v>
      </c>
      <c r="Z46">
        <v>540</v>
      </c>
      <c r="AA46">
        <v>516</v>
      </c>
      <c r="AB46">
        <v>355</v>
      </c>
      <c r="AC46">
        <v>446</v>
      </c>
      <c r="AD46">
        <v>322</v>
      </c>
      <c r="AE46">
        <v>233</v>
      </c>
      <c r="AF46">
        <v>233</v>
      </c>
      <c r="AG46">
        <v>300</v>
      </c>
      <c r="AH46">
        <v>308</v>
      </c>
      <c r="AI46">
        <v>363</v>
      </c>
      <c r="AJ46">
        <v>242</v>
      </c>
      <c r="AK46">
        <v>251</v>
      </c>
      <c r="AL46">
        <v>350</v>
      </c>
      <c r="AM46">
        <v>324</v>
      </c>
    </row>
    <row r="47" ht="14.25">
      <c r="A47" s="50" t="s">
        <v>51</v>
      </c>
      <c r="B47" s="45" t="s">
        <v>52</v>
      </c>
      <c r="F47">
        <v>1.5266903914590748</v>
      </c>
      <c r="G47">
        <v>1.6928571428571428</v>
      </c>
      <c r="H47">
        <v>1.9431818181818181</v>
      </c>
      <c r="I47">
        <v>2.0459770114942528</v>
      </c>
      <c r="J47">
        <v>2.3145937499999998</v>
      </c>
      <c r="K47">
        <v>2.4018584070796458</v>
      </c>
      <c r="L47">
        <v>2.5117346938775515</v>
      </c>
      <c r="M47">
        <v>2.5279374999999997</v>
      </c>
      <c r="N47">
        <v>2.5904792332268367</v>
      </c>
      <c r="O47">
        <v>2.7547115384615384</v>
      </c>
      <c r="P47">
        <v>2.6561558441558444</v>
      </c>
      <c r="Q47">
        <v>2.8095633187772928</v>
      </c>
      <c r="R47">
        <v>2.9073437500000012</v>
      </c>
      <c r="S47">
        <v>2.9228486646884271</v>
      </c>
      <c r="T47">
        <v>2.8106666666666666</v>
      </c>
      <c r="U47">
        <v>2.3310344827586209</v>
      </c>
      <c r="V47">
        <v>2.2236559139784946</v>
      </c>
      <c r="W47">
        <v>2.2649006622516556</v>
      </c>
      <c r="X47">
        <v>1.6812977099236641</v>
      </c>
      <c r="Y47">
        <v>1.9808795411089866</v>
      </c>
      <c r="Z47">
        <v>2.0321199143468949</v>
      </c>
      <c r="AA47">
        <v>2.8915333333333328</v>
      </c>
      <c r="AB47">
        <v>3.0432735426008968</v>
      </c>
      <c r="AC47">
        <v>2.8772069825436408</v>
      </c>
      <c r="AD47">
        <v>2.3885350318471339</v>
      </c>
      <c r="AE47">
        <v>1.9196891191709844</v>
      </c>
      <c r="AF47">
        <v>2.481012658227848</v>
      </c>
      <c r="AG47">
        <v>1.7671232876712328</v>
      </c>
      <c r="AH47">
        <v>2.2077922077922079</v>
      </c>
      <c r="AI47">
        <v>1.9816272965879265</v>
      </c>
      <c r="AJ47">
        <v>2.10803324099723</v>
      </c>
      <c r="AK47">
        <v>1.99</v>
      </c>
      <c r="AL47">
        <v>2.5600000000000001</v>
      </c>
      <c r="AM47">
        <v>2.3999999999999999</v>
      </c>
    </row>
    <row r="48" ht="14.25">
      <c r="A48" s="50" t="s">
        <v>49</v>
      </c>
      <c r="B48" s="45" t="s">
        <v>50</v>
      </c>
      <c r="F48">
        <v>174</v>
      </c>
      <c r="G48">
        <v>215</v>
      </c>
      <c r="H48">
        <v>143</v>
      </c>
      <c r="I48">
        <v>252</v>
      </c>
      <c r="J48">
        <v>194</v>
      </c>
      <c r="K48">
        <v>231</v>
      </c>
      <c r="L48">
        <v>146</v>
      </c>
      <c r="M48">
        <v>193</v>
      </c>
      <c r="N48">
        <v>192</v>
      </c>
      <c r="O48">
        <v>239</v>
      </c>
      <c r="P48">
        <v>156</v>
      </c>
      <c r="Q48">
        <v>213</v>
      </c>
      <c r="R48">
        <v>204</v>
      </c>
      <c r="S48">
        <v>227</v>
      </c>
      <c r="T48">
        <v>212</v>
      </c>
      <c r="U48">
        <v>374</v>
      </c>
      <c r="V48">
        <v>546</v>
      </c>
      <c r="W48">
        <v>572</v>
      </c>
      <c r="X48">
        <v>453</v>
      </c>
      <c r="Y48">
        <v>394</v>
      </c>
      <c r="Z48">
        <v>410</v>
      </c>
      <c r="AA48">
        <v>310</v>
      </c>
      <c r="AB48">
        <v>402</v>
      </c>
      <c r="AC48">
        <v>333</v>
      </c>
      <c r="AD48">
        <v>247</v>
      </c>
      <c r="AE48">
        <v>265</v>
      </c>
      <c r="AF48">
        <v>315</v>
      </c>
      <c r="AG48">
        <v>376</v>
      </c>
      <c r="AH48">
        <v>372</v>
      </c>
      <c r="AI48">
        <v>275</v>
      </c>
      <c r="AJ48">
        <v>294</v>
      </c>
      <c r="AK48">
        <v>393</v>
      </c>
      <c r="AL48">
        <v>367</v>
      </c>
      <c r="AM48">
        <v>394</v>
      </c>
    </row>
    <row r="49" ht="14.25">
      <c r="A49" s="50" t="s">
        <v>47</v>
      </c>
      <c r="B49" s="45" t="s">
        <v>48</v>
      </c>
      <c r="F49">
        <v>223</v>
      </c>
      <c r="G49">
        <v>279</v>
      </c>
      <c r="H49">
        <v>183</v>
      </c>
      <c r="I49">
        <v>324</v>
      </c>
      <c r="J49">
        <v>236</v>
      </c>
      <c r="K49">
        <v>295</v>
      </c>
      <c r="L49">
        <v>172</v>
      </c>
      <c r="M49">
        <v>245</v>
      </c>
      <c r="N49">
        <v>229</v>
      </c>
      <c r="O49">
        <v>293</v>
      </c>
      <c r="P49">
        <v>176</v>
      </c>
      <c r="Q49">
        <v>258</v>
      </c>
      <c r="R49">
        <v>257</v>
      </c>
      <c r="S49">
        <v>296</v>
      </c>
      <c r="T49">
        <v>261</v>
      </c>
      <c r="U49">
        <v>560</v>
      </c>
      <c r="V49">
        <v>879</v>
      </c>
      <c r="W49">
        <v>897</v>
      </c>
      <c r="X49">
        <v>738</v>
      </c>
      <c r="Y49">
        <v>598</v>
      </c>
      <c r="Z49">
        <v>601</v>
      </c>
      <c r="AA49">
        <v>430</v>
      </c>
      <c r="AB49">
        <v>560</v>
      </c>
      <c r="AC49">
        <v>454</v>
      </c>
      <c r="AD49">
        <v>314</v>
      </c>
      <c r="AE49">
        <v>336</v>
      </c>
      <c r="AF49">
        <v>419</v>
      </c>
      <c r="AG49">
        <v>499</v>
      </c>
      <c r="AH49">
        <v>503</v>
      </c>
      <c r="AI49">
        <v>342</v>
      </c>
      <c r="AJ49">
        <v>378</v>
      </c>
      <c r="AK49">
        <v>550</v>
      </c>
      <c r="AL49">
        <v>492</v>
      </c>
      <c r="AM49">
        <v>531</v>
      </c>
    </row>
    <row r="50" ht="14.25">
      <c r="A50" s="50" t="s">
        <v>147</v>
      </c>
      <c r="B50" s="45" t="s">
        <v>148</v>
      </c>
      <c r="C50" s="45" t="s">
        <v>160</v>
      </c>
      <c r="W50">
        <v>1951</v>
      </c>
      <c r="AH50">
        <v>1938</v>
      </c>
    </row>
    <row r="51" ht="14.25">
      <c r="A51" s="50" t="s">
        <v>153</v>
      </c>
      <c r="B51" s="45" t="s">
        <v>154</v>
      </c>
      <c r="C51" s="45" t="s">
        <v>46</v>
      </c>
      <c r="F51">
        <v>38</v>
      </c>
      <c r="G51">
        <v>38</v>
      </c>
      <c r="H51">
        <v>37</v>
      </c>
      <c r="I51">
        <v>41</v>
      </c>
      <c r="J51">
        <v>41</v>
      </c>
      <c r="K51">
        <v>43</v>
      </c>
      <c r="L51">
        <v>45</v>
      </c>
      <c r="M51">
        <v>43</v>
      </c>
      <c r="N51">
        <v>44</v>
      </c>
      <c r="O51">
        <v>43</v>
      </c>
      <c r="P51">
        <v>40</v>
      </c>
      <c r="Q51">
        <v>42</v>
      </c>
      <c r="R51">
        <v>44</v>
      </c>
      <c r="S51">
        <v>43</v>
      </c>
      <c r="T51">
        <v>43</v>
      </c>
      <c r="U51">
        <v>43</v>
      </c>
      <c r="V51">
        <v>39</v>
      </c>
      <c r="W51">
        <v>40</v>
      </c>
      <c r="X51">
        <v>37</v>
      </c>
      <c r="Y51">
        <v>42</v>
      </c>
      <c r="Z51">
        <v>44</v>
      </c>
      <c r="AA51">
        <v>48</v>
      </c>
      <c r="AB51">
        <v>50</v>
      </c>
      <c r="AC51">
        <v>48</v>
      </c>
      <c r="AD51">
        <v>48</v>
      </c>
      <c r="AF51">
        <v>49</v>
      </c>
      <c r="AG51">
        <v>47</v>
      </c>
      <c r="AH51">
        <v>47</v>
      </c>
      <c r="AI51">
        <v>48</v>
      </c>
      <c r="AJ51">
        <v>50</v>
      </c>
      <c r="AK51">
        <v>47</v>
      </c>
      <c r="AL51">
        <v>48</v>
      </c>
      <c r="AM51">
        <v>48</v>
      </c>
    </row>
    <row r="52" ht="14.25">
      <c r="A52" s="50" t="s">
        <v>155</v>
      </c>
      <c r="B52" s="45" t="s">
        <v>156</v>
      </c>
      <c r="C52" s="45" t="s">
        <v>46</v>
      </c>
      <c r="F52">
        <v>48</v>
      </c>
      <c r="G52">
        <v>48</v>
      </c>
      <c r="H52">
        <v>48</v>
      </c>
      <c r="I52">
        <v>49</v>
      </c>
      <c r="J52">
        <v>50</v>
      </c>
      <c r="K52">
        <v>53</v>
      </c>
      <c r="L52">
        <v>52</v>
      </c>
      <c r="M52">
        <v>51</v>
      </c>
      <c r="N52">
        <v>51</v>
      </c>
      <c r="O52">
        <v>51</v>
      </c>
      <c r="P52">
        <v>48</v>
      </c>
      <c r="Q52">
        <v>49</v>
      </c>
      <c r="R52">
        <v>51</v>
      </c>
      <c r="S52">
        <v>51</v>
      </c>
      <c r="T52">
        <v>51</v>
      </c>
      <c r="U52">
        <v>50</v>
      </c>
      <c r="V52">
        <v>47</v>
      </c>
      <c r="W52">
        <v>48</v>
      </c>
      <c r="X52">
        <v>48</v>
      </c>
      <c r="Y52">
        <v>54</v>
      </c>
      <c r="Z52">
        <v>56.000000000000007</v>
      </c>
      <c r="AA52">
        <v>51</v>
      </c>
      <c r="AB52">
        <v>52</v>
      </c>
      <c r="AC52">
        <v>52</v>
      </c>
      <c r="AD52">
        <v>51</v>
      </c>
      <c r="AF52">
        <v>48</v>
      </c>
      <c r="AG52">
        <v>49</v>
      </c>
      <c r="AH52">
        <v>49</v>
      </c>
      <c r="AI52">
        <v>50</v>
      </c>
      <c r="AJ52">
        <v>72</v>
      </c>
      <c r="AK52">
        <v>74</v>
      </c>
      <c r="AL52">
        <v>71</v>
      </c>
      <c r="AM52">
        <v>73</v>
      </c>
    </row>
    <row r="53" ht="14.25">
      <c r="A53" s="45" t="s">
        <v>161</v>
      </c>
      <c r="D53">
        <v>31</v>
      </c>
      <c r="E53">
        <v>37</v>
      </c>
      <c r="F53">
        <v>5310.4047172042065</v>
      </c>
      <c r="G53">
        <v>5327.5237843956702</v>
      </c>
      <c r="H53">
        <v>6402.0722463318098</v>
      </c>
      <c r="I53">
        <v>6463.7581666660444</v>
      </c>
      <c r="J53">
        <v>6436.6045684551391</v>
      </c>
      <c r="K53">
        <v>5673.8262786080759</v>
      </c>
      <c r="L53">
        <v>2304.1995838447619</v>
      </c>
      <c r="M53">
        <v>5433.7695700829136</v>
      </c>
      <c r="N53">
        <v>5790.8336924694258</v>
      </c>
      <c r="O53">
        <v>6076.1626010799482</v>
      </c>
      <c r="P53">
        <v>5428.0174929166806</v>
      </c>
      <c r="Q53">
        <v>6035.0203846539443</v>
      </c>
      <c r="R53">
        <v>6073.6898234234013</v>
      </c>
      <c r="S53">
        <v>6253.6840640768824</v>
      </c>
      <c r="T53">
        <v>5389.0090729073045</v>
      </c>
      <c r="U53">
        <v>6812.4900153689186</v>
      </c>
      <c r="V53">
        <v>10048.553992968686</v>
      </c>
      <c r="W53">
        <v>13245.15786472183</v>
      </c>
      <c r="X53">
        <v>8242.2688632153913</v>
      </c>
      <c r="Y53">
        <v>9266.9048613893392</v>
      </c>
      <c r="Z53">
        <v>9049.3439890300906</v>
      </c>
      <c r="AA53">
        <v>7820.6741962290562</v>
      </c>
      <c r="AB53">
        <v>7993.9658105434382</v>
      </c>
      <c r="AC53">
        <v>7464.9636537026909</v>
      </c>
      <c r="AD53">
        <v>6228.6898766175336</v>
      </c>
      <c r="AE53">
        <v>5683.2316217281086</v>
      </c>
      <c r="AF53">
        <v>6338.7074835001085</v>
      </c>
      <c r="AG53">
        <v>6767.5060046856088</v>
      </c>
      <c r="AH53">
        <v>8685.1530943760008</v>
      </c>
      <c r="AI53">
        <v>15872.065192416319</v>
      </c>
      <c r="AJ53">
        <v>5808.2475903400664</v>
      </c>
      <c r="AK53">
        <v>7175.6700000000001</v>
      </c>
      <c r="AL53">
        <v>6779.3999999999996</v>
      </c>
      <c r="AM53">
        <v>6972.7699999999995</v>
      </c>
    </row>
    <row r="54" ht="14.25"/>
    <row r="55" ht="14.25"/>
    <row r="56" ht="14.25"/>
    <row r="57" ht="14.25"/>
    <row r="58" ht="14.25"/>
    <row r="59" ht="14.25"/>
    <row r="60" ht="14.25"/>
    <row r="61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1" summaryRight="1" showOutlineSymbols="1"/>
    <pageSetUpPr autoPageBreaks="1" fitToPage="0"/>
  </sheetPr>
  <sheetViews>
    <sheetView showGridLines="0" showRuler="1" zoomScale="100" workbookViewId="0">
      <pane xSplit="3" ySplit="2" topLeftCell="D3" activePane="bottomRight" state="frozen"/>
      <selection activeCell="B3" activeCellId="0" sqref="B3:L22"/>
    </sheetView>
  </sheetViews>
  <sheetFormatPr defaultRowHeight="14.25"/>
  <cols>
    <col min="1" max="1" style="51" width="9.140625"/>
    <col customWidth="1" min="2" max="2" style="52" width="28"/>
    <col customWidth="1" min="3" max="3" style="52" width="17.5703125"/>
    <col customWidth="1" min="4" max="4" style="52" width="23.85546875"/>
    <col customWidth="1" min="5" max="5" style="52" width="18.28515625"/>
    <col customWidth="1" min="6" max="6" width="16.85546875"/>
    <col customWidth="1" min="7" max="7" style="53" width="14.5703125"/>
    <col customWidth="1" min="8" max="8" width="14.5703125"/>
    <col customWidth="1" min="9" max="9" width="46"/>
    <col customWidth="1" min="10" max="10" style="1" width="55.140625"/>
    <col customWidth="1" min="11" max="11" style="1" width="21.5703125"/>
    <col customWidth="1" min="12" max="12" width="42.140625"/>
  </cols>
  <sheetData>
    <row r="1" ht="19.5" customHeight="1"/>
    <row r="2" ht="49.5">
      <c r="B2" s="54" t="s">
        <v>162</v>
      </c>
      <c r="C2" s="54" t="s">
        <v>163</v>
      </c>
      <c r="D2" s="54" t="s">
        <v>164</v>
      </c>
      <c r="E2" s="55" t="s">
        <v>165</v>
      </c>
      <c r="F2" s="54" t="s">
        <v>166</v>
      </c>
      <c r="G2" s="54" t="s">
        <v>167</v>
      </c>
      <c r="H2" s="54" t="s">
        <v>23</v>
      </c>
      <c r="I2" s="56" t="s">
        <v>168</v>
      </c>
      <c r="J2" s="57" t="s">
        <v>169</v>
      </c>
      <c r="K2" s="57" t="s">
        <v>170</v>
      </c>
      <c r="L2" s="54" t="s">
        <v>171</v>
      </c>
    </row>
    <row r="3" ht="28.5">
      <c r="A3" s="58" t="s">
        <v>172</v>
      </c>
      <c r="B3" s="59"/>
      <c r="C3" s="60"/>
      <c r="D3" s="61"/>
      <c r="E3" s="62"/>
      <c r="F3" s="63"/>
      <c r="G3" s="64"/>
      <c r="H3" s="65"/>
      <c r="I3" s="59"/>
      <c r="J3" s="44"/>
      <c r="K3" s="66"/>
      <c r="L3" s="63"/>
    </row>
    <row r="4" s="67" customFormat="1">
      <c r="A4" s="68"/>
      <c r="B4" s="69"/>
      <c r="C4" s="60"/>
      <c r="D4" s="61"/>
      <c r="E4" s="62"/>
      <c r="F4" s="63"/>
      <c r="G4" s="70"/>
      <c r="H4" s="71"/>
      <c r="I4" s="72"/>
      <c r="J4" s="66"/>
      <c r="K4" s="73"/>
      <c r="L4" s="74"/>
    </row>
    <row r="5" s="67" customFormat="1" ht="28.5">
      <c r="A5" s="75" t="s">
        <v>172</v>
      </c>
      <c r="B5" s="76"/>
      <c r="C5" s="71"/>
      <c r="D5" s="61"/>
      <c r="E5" s="62"/>
      <c r="F5" s="63"/>
      <c r="G5" s="70"/>
      <c r="H5" s="71"/>
      <c r="I5" s="66"/>
      <c r="J5" s="66"/>
      <c r="K5" s="66"/>
      <c r="L5" s="77"/>
    </row>
    <row r="6" s="67" customFormat="1" ht="28.5">
      <c r="A6" s="78" t="s">
        <v>173</v>
      </c>
      <c r="B6" s="76"/>
      <c r="C6" s="71"/>
      <c r="D6" s="61"/>
      <c r="E6" s="62"/>
      <c r="F6" s="63"/>
      <c r="G6" s="70"/>
      <c r="H6" s="71"/>
      <c r="I6" s="66"/>
      <c r="J6" s="66"/>
      <c r="K6" s="66"/>
      <c r="L6" s="77"/>
    </row>
    <row r="7" s="67" customFormat="1" ht="28.5">
      <c r="A7" s="58" t="s">
        <v>172</v>
      </c>
      <c r="B7" s="66"/>
      <c r="C7" s="79"/>
      <c r="D7" s="61"/>
      <c r="E7" s="62"/>
      <c r="F7" s="63"/>
      <c r="G7" s="70"/>
      <c r="H7" s="71"/>
      <c r="I7" s="80"/>
      <c r="J7" s="80"/>
      <c r="K7" s="80"/>
      <c r="L7" s="81"/>
    </row>
    <row r="8" s="67" customFormat="1" ht="28.5">
      <c r="A8" s="58" t="s">
        <v>172</v>
      </c>
      <c r="B8" s="66"/>
      <c r="C8" s="82"/>
      <c r="D8" s="61"/>
      <c r="E8" s="62"/>
      <c r="F8" s="63"/>
      <c r="G8" s="70"/>
      <c r="H8" s="71"/>
      <c r="I8" s="66"/>
      <c r="J8" s="66"/>
      <c r="K8" s="66"/>
      <c r="L8" s="81"/>
    </row>
    <row r="9" s="83" customFormat="1" ht="28.5">
      <c r="A9" s="58" t="s">
        <v>172</v>
      </c>
      <c r="B9" s="84"/>
      <c r="C9" s="82"/>
      <c r="D9" s="61"/>
      <c r="E9" s="62"/>
      <c r="F9" s="63"/>
      <c r="G9" s="70"/>
      <c r="H9" s="71"/>
      <c r="I9" s="85"/>
      <c r="J9" s="66"/>
      <c r="K9" s="85"/>
      <c r="L9" s="86"/>
    </row>
    <row r="10" s="83" customFormat="1" ht="28.5">
      <c r="A10" s="58" t="s">
        <v>172</v>
      </c>
      <c r="B10" s="84"/>
      <c r="C10" s="82"/>
      <c r="D10" s="61"/>
      <c r="E10" s="62"/>
      <c r="F10" s="63"/>
      <c r="G10" s="70"/>
      <c r="H10" s="71"/>
      <c r="I10" s="84"/>
      <c r="J10" s="66"/>
      <c r="K10" s="84"/>
      <c r="L10" s="86"/>
    </row>
    <row r="11" s="83" customFormat="1">
      <c r="A11" s="87"/>
      <c r="B11" s="84"/>
      <c r="C11" s="82"/>
      <c r="D11" s="61"/>
      <c r="E11" s="62"/>
      <c r="F11" s="63"/>
      <c r="G11" s="70"/>
      <c r="H11" s="71"/>
      <c r="I11" s="84"/>
      <c r="J11" s="84"/>
      <c r="K11" s="84"/>
      <c r="L11" s="86"/>
    </row>
    <row r="12" s="83" customFormat="1">
      <c r="A12" s="87"/>
      <c r="B12" s="84"/>
      <c r="C12" s="82"/>
      <c r="D12" s="61"/>
      <c r="E12" s="62"/>
      <c r="F12" s="63"/>
      <c r="G12" s="70"/>
      <c r="H12" s="71"/>
      <c r="I12" s="84"/>
      <c r="J12" s="84"/>
      <c r="K12" s="84"/>
      <c r="L12" s="86"/>
    </row>
    <row r="13" s="83" customFormat="1">
      <c r="A13" s="87"/>
      <c r="B13" s="84"/>
      <c r="C13" s="82"/>
      <c r="D13" s="61"/>
      <c r="E13" s="62"/>
      <c r="F13" s="63"/>
      <c r="G13" s="70"/>
      <c r="H13" s="71"/>
      <c r="I13" s="84"/>
      <c r="J13" s="84"/>
      <c r="K13" s="84"/>
      <c r="L13" s="86"/>
    </row>
    <row r="14" s="83" customFormat="1">
      <c r="A14" s="87"/>
      <c r="B14" s="84"/>
      <c r="C14" s="82"/>
      <c r="D14" s="61"/>
      <c r="E14" s="62"/>
      <c r="F14" s="63"/>
      <c r="G14" s="70"/>
      <c r="H14" s="71"/>
      <c r="I14" s="84"/>
      <c r="J14" s="84"/>
      <c r="K14" s="84"/>
      <c r="L14" s="86"/>
    </row>
    <row r="15" s="83" customFormat="1">
      <c r="A15" s="87"/>
      <c r="B15" s="84"/>
      <c r="C15" s="82"/>
      <c r="D15" s="61"/>
      <c r="E15" s="62"/>
      <c r="F15" s="63"/>
      <c r="G15" s="70"/>
      <c r="H15" s="71"/>
      <c r="I15" s="84"/>
      <c r="J15" s="84"/>
      <c r="K15" s="84"/>
      <c r="L15" s="86"/>
    </row>
    <row r="16" s="83" customFormat="1" ht="28.5">
      <c r="A16" s="58" t="s">
        <v>172</v>
      </c>
      <c r="B16" s="84"/>
      <c r="C16" s="82"/>
      <c r="D16" s="61"/>
      <c r="E16" s="62"/>
      <c r="F16" s="63"/>
      <c r="G16" s="70"/>
      <c r="H16" s="71"/>
      <c r="I16" s="84"/>
      <c r="J16" s="66"/>
      <c r="K16" s="84"/>
      <c r="L16" s="86"/>
    </row>
    <row r="17" s="83" customFormat="1">
      <c r="A17" s="58"/>
      <c r="B17" s="84"/>
      <c r="C17" s="82"/>
      <c r="D17" s="61"/>
      <c r="E17" s="62"/>
      <c r="F17" s="63"/>
      <c r="G17" s="70"/>
      <c r="H17" s="71"/>
      <c r="I17" s="84"/>
      <c r="J17" s="84"/>
      <c r="K17" s="84"/>
      <c r="L17" s="86"/>
    </row>
    <row r="18" s="83" customFormat="1" ht="28.5">
      <c r="A18" s="58" t="s">
        <v>172</v>
      </c>
      <c r="B18" s="84"/>
      <c r="C18" s="82"/>
      <c r="D18" s="61"/>
      <c r="E18" s="62"/>
      <c r="F18" s="63"/>
      <c r="G18" s="70"/>
      <c r="H18" s="71"/>
      <c r="I18" s="84"/>
      <c r="J18" s="66"/>
      <c r="K18" s="84"/>
      <c r="L18" s="86"/>
    </row>
    <row r="19" s="83" customFormat="1">
      <c r="A19" s="87"/>
      <c r="B19" s="84"/>
      <c r="C19" s="82"/>
      <c r="D19" s="61"/>
      <c r="E19" s="62"/>
      <c r="F19" s="63"/>
      <c r="G19" s="70"/>
      <c r="H19" s="71"/>
      <c r="I19" s="84"/>
      <c r="J19" s="84"/>
      <c r="K19" s="84"/>
      <c r="L19" s="86"/>
    </row>
    <row r="20" s="83" customFormat="1">
      <c r="A20" s="87"/>
      <c r="B20" s="88"/>
      <c r="C20" s="89"/>
      <c r="D20" s="90"/>
      <c r="E20" s="91"/>
      <c r="F20" s="65"/>
      <c r="G20" s="92"/>
      <c r="H20" s="93"/>
      <c r="I20" s="88"/>
      <c r="J20" s="88"/>
      <c r="K20" s="88"/>
      <c r="L20" s="86"/>
    </row>
    <row r="21" s="83" customFormat="1">
      <c r="A21" s="87"/>
      <c r="B21" s="81"/>
      <c r="C21" s="82"/>
      <c r="D21" s="94"/>
      <c r="E21" s="95"/>
      <c r="F21" s="96"/>
      <c r="G21" s="92"/>
      <c r="H21" s="71"/>
      <c r="I21" s="81"/>
      <c r="J21" s="81"/>
      <c r="K21" s="81"/>
      <c r="L21" s="81"/>
    </row>
    <row r="22" s="83" customFormat="1" ht="73.5" customHeight="1">
      <c r="A22" s="87"/>
      <c r="B22" s="84"/>
      <c r="C22" s="82"/>
      <c r="D22" s="94"/>
      <c r="E22" s="95"/>
      <c r="F22" s="97"/>
      <c r="G22" s="98"/>
      <c r="H22" s="71"/>
      <c r="I22" s="81"/>
      <c r="J22" s="84"/>
      <c r="K22" s="99"/>
      <c r="L22" s="81"/>
    </row>
    <row r="23" s="83" customFormat="1">
      <c r="A23" s="87"/>
      <c r="B23" s="43"/>
      <c r="C23" s="43"/>
      <c r="D23" s="43"/>
      <c r="E23" s="43"/>
      <c r="G23" s="100"/>
    </row>
    <row r="24" s="83" customFormat="1">
      <c r="A24" s="87"/>
      <c r="B24" s="43"/>
      <c r="C24" s="43"/>
      <c r="D24" s="43"/>
      <c r="E24" s="43"/>
      <c r="G24" s="100"/>
    </row>
    <row r="25" s="83" customFormat="1">
      <c r="A25" s="87"/>
      <c r="B25" s="43"/>
      <c r="C25" s="43"/>
      <c r="D25" s="43"/>
      <c r="E25" s="43"/>
      <c r="G25" s="100"/>
    </row>
    <row r="26" s="83" customFormat="1">
      <c r="A26" s="87"/>
      <c r="B26" s="43"/>
      <c r="C26" s="43"/>
      <c r="D26" s="43"/>
      <c r="E26" s="43"/>
      <c r="G26" s="100"/>
    </row>
    <row r="27" s="83" customFormat="1">
      <c r="A27" s="87"/>
      <c r="B27" s="43"/>
      <c r="C27" s="43"/>
      <c r="D27" s="43"/>
      <c r="E27" s="43"/>
      <c r="G27" s="100"/>
    </row>
    <row r="28" s="83" customFormat="1">
      <c r="A28" s="87"/>
      <c r="B28" s="43"/>
      <c r="C28" s="43"/>
      <c r="D28" s="43"/>
      <c r="E28" s="43"/>
      <c r="G28" s="100"/>
    </row>
    <row r="29" s="83" customFormat="1">
      <c r="A29" s="87"/>
      <c r="B29" s="43"/>
      <c r="C29" s="43"/>
      <c r="D29" s="43"/>
      <c r="E29" s="43"/>
      <c r="G29" s="100"/>
    </row>
    <row r="30" s="83" customFormat="1">
      <c r="A30" s="87"/>
      <c r="B30" s="43"/>
      <c r="C30" s="43"/>
      <c r="D30" s="43"/>
      <c r="E30" s="43"/>
      <c r="G30" s="100"/>
    </row>
    <row r="31" s="83" customFormat="1">
      <c r="A31" s="87"/>
      <c r="B31" s="43"/>
      <c r="C31" s="43"/>
      <c r="D31" s="43"/>
      <c r="E31" s="43"/>
      <c r="G31" s="100"/>
    </row>
    <row r="32" s="83" customFormat="1">
      <c r="A32" s="87"/>
      <c r="B32" s="43"/>
      <c r="C32" s="43"/>
      <c r="D32" s="43"/>
      <c r="E32" s="43"/>
      <c r="G32" s="100"/>
    </row>
    <row r="33" s="83" customFormat="1">
      <c r="A33" s="87"/>
      <c r="B33" s="43"/>
      <c r="C33" s="43"/>
      <c r="D33" s="43"/>
      <c r="E33" s="43"/>
      <c r="G33" s="100"/>
    </row>
    <row r="34" s="83" customFormat="1">
      <c r="A34" s="87"/>
      <c r="B34" s="43"/>
      <c r="C34" s="43"/>
      <c r="D34" s="43"/>
      <c r="E34" s="43"/>
      <c r="G34" s="100"/>
    </row>
    <row r="35" s="83" customFormat="1">
      <c r="A35" s="87"/>
      <c r="B35" s="43"/>
      <c r="C35" s="43"/>
      <c r="D35" s="43"/>
      <c r="E35" s="43"/>
      <c r="G35" s="100"/>
    </row>
    <row r="36" s="83" customFormat="1">
      <c r="A36" s="87"/>
      <c r="B36" s="43"/>
      <c r="C36" s="43"/>
      <c r="D36" s="43"/>
      <c r="E36" s="43"/>
      <c r="G36" s="100"/>
    </row>
    <row r="37" s="83" customFormat="1">
      <c r="A37" s="87"/>
      <c r="B37" s="43"/>
      <c r="C37" s="43"/>
      <c r="D37" s="43"/>
      <c r="E37" s="43"/>
      <c r="G37" s="100"/>
    </row>
    <row r="38" s="83" customFormat="1">
      <c r="A38" s="87"/>
      <c r="B38" s="43"/>
      <c r="C38" s="43"/>
      <c r="D38" s="43"/>
      <c r="E38" s="43"/>
      <c r="G38" s="100"/>
    </row>
    <row r="39" s="83" customFormat="1">
      <c r="A39" s="87"/>
      <c r="B39" s="43"/>
      <c r="C39" s="43"/>
      <c r="D39" s="43"/>
      <c r="E39" s="43"/>
      <c r="G39" s="100"/>
    </row>
    <row r="40" s="83" customFormat="1">
      <c r="A40" s="87"/>
      <c r="B40" s="43"/>
      <c r="C40" s="43"/>
      <c r="D40" s="43"/>
      <c r="E40" s="43"/>
      <c r="G40" s="100"/>
    </row>
    <row r="41" s="83" customFormat="1">
      <c r="A41" s="87"/>
      <c r="B41" s="43"/>
      <c r="C41" s="43"/>
      <c r="D41" s="43"/>
      <c r="E41" s="43"/>
      <c r="G41" s="100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33" activeCellId="0" sqref="B33"/>
    </sheetView>
  </sheetViews>
  <sheetFormatPr defaultRowHeight="14.25"/>
  <cols>
    <col customWidth="1" min="1" max="1" width="12.140625"/>
    <col customWidth="1" min="2" max="2" width="106.7109375"/>
    <col customWidth="1" min="3" max="3" width="17"/>
  </cols>
  <sheetData>
    <row r="1" ht="30">
      <c r="A1" s="101" t="s">
        <v>174</v>
      </c>
      <c r="B1" s="101" t="s">
        <v>175</v>
      </c>
      <c r="C1" s="102" t="s">
        <v>176</v>
      </c>
    </row>
    <row r="2">
      <c r="A2" s="103">
        <v>1</v>
      </c>
      <c r="B2" s="104" t="s">
        <v>177</v>
      </c>
      <c r="C2" s="103" t="s">
        <v>178</v>
      </c>
    </row>
    <row r="3">
      <c r="A3" s="105">
        <v>2</v>
      </c>
      <c r="B3" s="106" t="s">
        <v>179</v>
      </c>
      <c r="C3" s="105" t="s">
        <v>178</v>
      </c>
    </row>
    <row r="4">
      <c r="A4" s="103">
        <v>3</v>
      </c>
      <c r="B4" s="104" t="s">
        <v>180</v>
      </c>
      <c r="C4" s="103" t="s">
        <v>178</v>
      </c>
    </row>
    <row r="5">
      <c r="A5" s="105">
        <v>4</v>
      </c>
      <c r="B5" s="106" t="s">
        <v>181</v>
      </c>
      <c r="C5" s="105"/>
    </row>
    <row r="6">
      <c r="A6" s="103">
        <v>5</v>
      </c>
      <c r="B6" s="104" t="s">
        <v>182</v>
      </c>
      <c r="C6" s="103" t="s">
        <v>178</v>
      </c>
    </row>
    <row r="7">
      <c r="A7" s="105">
        <v>6</v>
      </c>
      <c r="B7" s="106" t="s">
        <v>183</v>
      </c>
      <c r="C7" s="105"/>
    </row>
    <row r="8">
      <c r="A8" s="103">
        <v>8</v>
      </c>
      <c r="B8" s="104" t="s">
        <v>184</v>
      </c>
      <c r="C8" s="103" t="s">
        <v>178</v>
      </c>
    </row>
    <row r="9">
      <c r="A9" s="105">
        <v>9</v>
      </c>
      <c r="B9" s="106" t="s">
        <v>185</v>
      </c>
      <c r="C9" s="105"/>
    </row>
    <row r="10">
      <c r="A10" s="103">
        <v>10</v>
      </c>
      <c r="B10" s="104" t="s">
        <v>186</v>
      </c>
      <c r="C10" s="103" t="s">
        <v>178</v>
      </c>
    </row>
    <row r="11">
      <c r="A11" s="105">
        <v>11</v>
      </c>
      <c r="B11" s="106" t="s">
        <v>187</v>
      </c>
      <c r="C11" s="105" t="s">
        <v>178</v>
      </c>
    </row>
    <row r="12">
      <c r="A12" s="103">
        <v>12</v>
      </c>
      <c r="B12" s="104" t="s">
        <v>188</v>
      </c>
      <c r="C12" s="103" t="s">
        <v>178</v>
      </c>
    </row>
    <row r="13">
      <c r="A13" s="105">
        <v>13</v>
      </c>
      <c r="B13" s="106" t="s">
        <v>189</v>
      </c>
      <c r="C13" s="105" t="s">
        <v>178</v>
      </c>
    </row>
    <row r="14">
      <c r="A14" s="103">
        <v>14</v>
      </c>
      <c r="B14" s="104" t="s">
        <v>190</v>
      </c>
      <c r="C14" s="103" t="s">
        <v>178</v>
      </c>
    </row>
    <row r="15">
      <c r="A15" s="105">
        <v>15</v>
      </c>
      <c r="B15" s="106" t="s">
        <v>191</v>
      </c>
      <c r="C15" s="105"/>
    </row>
    <row r="16">
      <c r="A16" s="103">
        <v>16</v>
      </c>
      <c r="B16" s="104" t="s">
        <v>192</v>
      </c>
      <c r="C16" s="103"/>
    </row>
    <row r="17">
      <c r="A17" s="105">
        <v>17</v>
      </c>
      <c r="B17" s="106" t="s">
        <v>193</v>
      </c>
      <c r="C17" s="105"/>
    </row>
    <row r="18">
      <c r="A18" s="103">
        <v>18</v>
      </c>
      <c r="B18" s="104" t="s">
        <v>194</v>
      </c>
      <c r="C18" s="103" t="s">
        <v>178</v>
      </c>
    </row>
    <row r="19">
      <c r="A19" s="105">
        <v>19</v>
      </c>
      <c r="B19" s="106" t="s">
        <v>195</v>
      </c>
      <c r="C19" s="105" t="s">
        <v>178</v>
      </c>
    </row>
    <row r="20">
      <c r="A20" s="103">
        <v>21</v>
      </c>
      <c r="B20" s="104" t="s">
        <v>196</v>
      </c>
      <c r="C20" s="103" t="s">
        <v>178</v>
      </c>
    </row>
    <row r="21">
      <c r="A21" s="105">
        <v>22</v>
      </c>
      <c r="B21" s="106" t="s">
        <v>197</v>
      </c>
      <c r="C21" s="105" t="s">
        <v>178</v>
      </c>
    </row>
    <row r="22">
      <c r="A22" s="103">
        <v>23</v>
      </c>
      <c r="B22" s="104" t="s">
        <v>198</v>
      </c>
      <c r="C22" s="103" t="s">
        <v>178</v>
      </c>
    </row>
    <row r="23">
      <c r="A23" s="105">
        <v>24</v>
      </c>
      <c r="B23" s="106" t="s">
        <v>199</v>
      </c>
      <c r="C23" s="105" t="s">
        <v>178</v>
      </c>
    </row>
    <row r="24">
      <c r="A24" s="103">
        <v>27</v>
      </c>
      <c r="B24" s="104" t="s">
        <v>200</v>
      </c>
      <c r="C24" s="103" t="s">
        <v>178</v>
      </c>
    </row>
    <row r="25">
      <c r="A25" s="105">
        <v>28</v>
      </c>
      <c r="B25" s="106" t="s">
        <v>201</v>
      </c>
      <c r="C25" s="105" t="s">
        <v>178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F29" activeCellId="0" sqref="F29"/>
    </sheetView>
  </sheetViews>
  <sheetFormatPr defaultRowHeight="14.25"/>
  <cols>
    <col customWidth="1" min="1" max="1" style="16" width="12.8515625"/>
    <col customWidth="1" min="2" max="2" style="107" width="12.57421875"/>
    <col customWidth="1" min="3" max="3" style="107" width="12.7109375"/>
    <col customWidth="1" min="4" max="4" width="24.421875"/>
  </cols>
  <sheetData>
    <row r="1">
      <c r="A1" s="108" t="s">
        <v>202</v>
      </c>
      <c r="B1" s="109" t="s">
        <v>203</v>
      </c>
      <c r="C1" s="109" t="s">
        <v>204</v>
      </c>
    </row>
    <row r="2" ht="14.25">
      <c r="A2" s="110">
        <v>45876</v>
      </c>
      <c r="B2" s="111">
        <v>0.39000000000000001</v>
      </c>
      <c r="C2" s="111">
        <v>0.5</v>
      </c>
      <c r="D2" s="112" t="s">
        <v>205</v>
      </c>
      <c r="E2">
        <f t="shared" ref="E2:E9" si="0">B2*100</f>
        <v>39</v>
      </c>
      <c r="F2" s="113">
        <v>50</v>
      </c>
    </row>
    <row r="3" ht="14.25">
      <c r="A3" s="110">
        <v>45883</v>
      </c>
      <c r="B3" s="111">
        <v>0.37</v>
      </c>
      <c r="C3" s="111">
        <v>0.47999999999999998</v>
      </c>
      <c r="D3" s="112" t="s">
        <v>206</v>
      </c>
      <c r="E3">
        <f t="shared" si="0"/>
        <v>37</v>
      </c>
      <c r="F3" s="113">
        <v>48</v>
      </c>
    </row>
    <row r="4" ht="14.25">
      <c r="A4" s="110">
        <v>45890</v>
      </c>
      <c r="B4" s="111">
        <v>0.38</v>
      </c>
      <c r="C4" s="111">
        <v>0.48999999999999999</v>
      </c>
      <c r="D4" s="112" t="s">
        <v>207</v>
      </c>
      <c r="E4">
        <f t="shared" si="0"/>
        <v>38</v>
      </c>
      <c r="F4" s="113">
        <v>49</v>
      </c>
    </row>
    <row r="5" ht="14.25">
      <c r="A5" s="110">
        <v>45897</v>
      </c>
      <c r="B5" s="111">
        <v>0.38</v>
      </c>
      <c r="C5" s="111">
        <v>0.47999999999999998</v>
      </c>
      <c r="D5" s="112" t="s">
        <v>208</v>
      </c>
      <c r="E5">
        <f t="shared" si="0"/>
        <v>38</v>
      </c>
      <c r="F5" s="113">
        <v>48</v>
      </c>
    </row>
    <row r="6" ht="14.25">
      <c r="A6" s="110">
        <v>45904</v>
      </c>
      <c r="B6" s="111">
        <v>0.38</v>
      </c>
      <c r="C6" s="111">
        <v>0.47999999999999998</v>
      </c>
      <c r="D6" s="112" t="s">
        <v>209</v>
      </c>
      <c r="E6">
        <f t="shared" si="0"/>
        <v>38</v>
      </c>
      <c r="F6" s="113">
        <v>48</v>
      </c>
    </row>
    <row r="7" ht="14.25">
      <c r="A7" s="110">
        <v>45911</v>
      </c>
      <c r="B7" s="111">
        <v>0.37</v>
      </c>
      <c r="C7" s="111">
        <v>0.47999999999999998</v>
      </c>
      <c r="D7" s="112" t="s">
        <v>210</v>
      </c>
      <c r="E7">
        <f t="shared" si="0"/>
        <v>37</v>
      </c>
      <c r="F7" s="113">
        <v>48</v>
      </c>
    </row>
    <row r="8" ht="14.25">
      <c r="A8" s="110">
        <v>45918</v>
      </c>
      <c r="B8" s="111">
        <v>0.40999999999999998</v>
      </c>
      <c r="C8" s="111">
        <v>0.48999999999999999</v>
      </c>
      <c r="D8" s="112" t="s">
        <v>211</v>
      </c>
      <c r="E8">
        <f t="shared" si="0"/>
        <v>41</v>
      </c>
      <c r="F8" s="113">
        <v>49</v>
      </c>
    </row>
    <row r="9" ht="14.25">
      <c r="A9" s="110">
        <v>45925</v>
      </c>
      <c r="B9" s="111">
        <v>0.40999999999999998</v>
      </c>
      <c r="C9" s="111">
        <v>0.5</v>
      </c>
      <c r="D9" s="112" t="s">
        <v>212</v>
      </c>
      <c r="E9">
        <f t="shared" si="0"/>
        <v>41</v>
      </c>
      <c r="F9" s="113">
        <v>50</v>
      </c>
    </row>
    <row r="10" ht="14.25">
      <c r="A10" s="110">
        <v>45932</v>
      </c>
      <c r="B10" s="111">
        <v>0.42999999999999999</v>
      </c>
      <c r="C10" s="111">
        <v>0.53000000000000003</v>
      </c>
      <c r="D10" s="112" t="s">
        <v>213</v>
      </c>
      <c r="E10">
        <f t="shared" ref="E10:E33" si="1">B10*100</f>
        <v>43</v>
      </c>
      <c r="F10" s="113">
        <v>53</v>
      </c>
    </row>
    <row r="11" ht="14.25">
      <c r="A11" s="110">
        <v>45939</v>
      </c>
      <c r="B11" s="111">
        <v>0.45000000000000001</v>
      </c>
      <c r="C11" s="111">
        <v>0.52000000000000002</v>
      </c>
      <c r="D11" s="112" t="s">
        <v>214</v>
      </c>
      <c r="E11">
        <f t="shared" si="1"/>
        <v>45</v>
      </c>
      <c r="F11" s="113">
        <v>52</v>
      </c>
    </row>
    <row r="12" ht="14.25">
      <c r="A12" s="110">
        <v>45946</v>
      </c>
      <c r="B12" s="111">
        <v>0.42999999999999999</v>
      </c>
      <c r="C12" s="111">
        <v>0.51000000000000001</v>
      </c>
      <c r="D12" s="112" t="s">
        <v>215</v>
      </c>
      <c r="E12">
        <f t="shared" si="1"/>
        <v>43</v>
      </c>
      <c r="F12" s="113">
        <v>51</v>
      </c>
    </row>
    <row r="13" ht="14.25">
      <c r="A13" s="110">
        <v>45953</v>
      </c>
      <c r="B13" s="111">
        <v>0.44</v>
      </c>
      <c r="C13" s="111">
        <v>0.51000000000000001</v>
      </c>
      <c r="D13" s="112" t="s">
        <v>216</v>
      </c>
      <c r="E13">
        <f t="shared" si="1"/>
        <v>44</v>
      </c>
      <c r="F13" s="113">
        <v>51</v>
      </c>
    </row>
    <row r="14" ht="14.25">
      <c r="A14" s="110">
        <v>45960</v>
      </c>
      <c r="B14" s="111">
        <v>0.42999999999999999</v>
      </c>
      <c r="C14" s="111">
        <v>0.51000000000000001</v>
      </c>
      <c r="D14" s="112" t="s">
        <v>217</v>
      </c>
      <c r="E14">
        <f t="shared" si="1"/>
        <v>43</v>
      </c>
      <c r="F14" s="113">
        <v>51</v>
      </c>
    </row>
    <row r="15" ht="14.25">
      <c r="A15" s="110">
        <v>45967</v>
      </c>
      <c r="B15" s="111">
        <v>0.40000000000000002</v>
      </c>
      <c r="C15" s="111">
        <v>0.47999999999999998</v>
      </c>
      <c r="D15" s="112" t="s">
        <v>218</v>
      </c>
      <c r="E15">
        <f t="shared" si="1"/>
        <v>40</v>
      </c>
      <c r="F15" s="113">
        <v>48</v>
      </c>
    </row>
    <row r="16" ht="14.25">
      <c r="A16" s="110">
        <v>45974</v>
      </c>
      <c r="B16" s="111">
        <v>0.41999999999999998</v>
      </c>
      <c r="C16" s="111">
        <v>0.48999999999999999</v>
      </c>
      <c r="D16" s="112" t="s">
        <v>219</v>
      </c>
      <c r="E16">
        <f t="shared" si="1"/>
        <v>42</v>
      </c>
      <c r="F16" s="113">
        <v>49</v>
      </c>
    </row>
    <row r="17" ht="14.25">
      <c r="A17" s="110">
        <v>45981</v>
      </c>
      <c r="B17" s="111">
        <v>0.44</v>
      </c>
      <c r="C17" s="111">
        <v>0.51000000000000001</v>
      </c>
      <c r="D17" s="112" t="s">
        <v>220</v>
      </c>
      <c r="E17">
        <f t="shared" si="1"/>
        <v>44</v>
      </c>
      <c r="F17" s="113">
        <v>51</v>
      </c>
    </row>
    <row r="18" ht="14.25">
      <c r="A18" s="110">
        <v>45988</v>
      </c>
      <c r="B18" s="111">
        <v>0.42999999999999999</v>
      </c>
      <c r="C18" s="111">
        <v>0.51000000000000001</v>
      </c>
      <c r="D18" s="112" t="s">
        <v>221</v>
      </c>
      <c r="E18">
        <f t="shared" si="1"/>
        <v>43</v>
      </c>
      <c r="F18" s="113">
        <v>51</v>
      </c>
    </row>
    <row r="19" ht="14.25">
      <c r="A19" s="110">
        <v>45995</v>
      </c>
      <c r="B19" s="111">
        <v>0.42999999999999999</v>
      </c>
      <c r="C19" s="111">
        <v>0.51000000000000001</v>
      </c>
      <c r="D19" s="114" t="s">
        <v>222</v>
      </c>
      <c r="E19">
        <f t="shared" si="1"/>
        <v>43</v>
      </c>
      <c r="F19" s="113">
        <v>51</v>
      </c>
    </row>
    <row r="20" ht="14.25">
      <c r="A20" s="110">
        <v>46002</v>
      </c>
      <c r="B20" s="111">
        <v>0.42999999999999999</v>
      </c>
      <c r="C20" s="111">
        <v>0.5</v>
      </c>
      <c r="D20" s="114" t="s">
        <v>223</v>
      </c>
      <c r="E20">
        <f t="shared" si="1"/>
        <v>43</v>
      </c>
      <c r="F20" s="113">
        <v>50</v>
      </c>
    </row>
    <row r="21" ht="14.25">
      <c r="A21" s="110">
        <v>46009</v>
      </c>
      <c r="B21" s="111">
        <v>0.39000000000000001</v>
      </c>
      <c r="C21" s="111">
        <v>0.46999999999999997</v>
      </c>
      <c r="D21" s="114" t="s">
        <v>224</v>
      </c>
      <c r="E21">
        <f t="shared" si="1"/>
        <v>39</v>
      </c>
      <c r="F21" s="113">
        <v>47</v>
      </c>
    </row>
    <row r="22" ht="14.25">
      <c r="A22" s="110">
        <v>46016</v>
      </c>
      <c r="B22" s="111">
        <v>0.40000000000000002</v>
      </c>
      <c r="C22" s="111">
        <v>0.47999999999999998</v>
      </c>
      <c r="D22" s="112" t="s">
        <v>225</v>
      </c>
      <c r="E22">
        <f t="shared" si="1"/>
        <v>40</v>
      </c>
      <c r="F22" s="113">
        <v>48</v>
      </c>
    </row>
    <row r="23" ht="14.25">
      <c r="A23" s="115">
        <v>46037</v>
      </c>
      <c r="B23" s="109">
        <v>0.37</v>
      </c>
      <c r="C23" s="109">
        <v>0.47999999999999998</v>
      </c>
      <c r="D23" s="116" t="s">
        <v>226</v>
      </c>
      <c r="E23">
        <f t="shared" si="1"/>
        <v>37</v>
      </c>
      <c r="F23" s="113">
        <v>48</v>
      </c>
    </row>
    <row r="24" ht="14.25">
      <c r="A24" s="115">
        <v>46044</v>
      </c>
      <c r="B24" s="109">
        <v>0.41999999999999998</v>
      </c>
      <c r="C24" s="109">
        <v>0.54000000000000004</v>
      </c>
      <c r="D24" s="116" t="s">
        <v>227</v>
      </c>
      <c r="E24">
        <f t="shared" si="1"/>
        <v>42</v>
      </c>
      <c r="F24" s="113">
        <v>54</v>
      </c>
    </row>
    <row r="25" ht="14.25">
      <c r="A25" s="115">
        <v>46051</v>
      </c>
      <c r="B25" s="109">
        <v>0.44</v>
      </c>
      <c r="C25" s="109">
        <v>0.56000000000000005</v>
      </c>
      <c r="D25" s="116" t="s">
        <v>228</v>
      </c>
      <c r="E25">
        <f t="shared" si="1"/>
        <v>44</v>
      </c>
      <c r="F25" s="113">
        <v>56.000000000000007</v>
      </c>
    </row>
    <row r="26" ht="14.25">
      <c r="A26" s="115">
        <v>46058</v>
      </c>
      <c r="B26" s="109">
        <v>0.47999999999999998</v>
      </c>
      <c r="C26" s="109">
        <v>0.51000000000000001</v>
      </c>
      <c r="D26" s="116" t="s">
        <v>229</v>
      </c>
      <c r="E26">
        <f t="shared" si="1"/>
        <v>48</v>
      </c>
      <c r="F26" s="113">
        <v>51</v>
      </c>
    </row>
    <row r="27" ht="14.25">
      <c r="A27" s="115">
        <v>46065</v>
      </c>
      <c r="B27" s="109">
        <v>0.5</v>
      </c>
      <c r="C27" s="109">
        <v>0.52000000000000002</v>
      </c>
      <c r="D27" s="116" t="s">
        <v>230</v>
      </c>
      <c r="E27">
        <f t="shared" si="1"/>
        <v>50</v>
      </c>
      <c r="F27" s="113">
        <v>52</v>
      </c>
    </row>
    <row r="28" ht="14.25">
      <c r="A28" s="115">
        <v>46072</v>
      </c>
      <c r="B28" s="109">
        <v>0.47999999999999998</v>
      </c>
      <c r="C28" s="109">
        <v>0.52000000000000002</v>
      </c>
      <c r="D28" s="116" t="s">
        <v>231</v>
      </c>
      <c r="E28">
        <f t="shared" si="1"/>
        <v>48</v>
      </c>
      <c r="F28" s="113">
        <v>52</v>
      </c>
    </row>
    <row r="29" ht="14.25">
      <c r="A29" s="115">
        <v>46079</v>
      </c>
      <c r="B29" s="109">
        <v>0.47999999999999998</v>
      </c>
      <c r="C29" s="109">
        <v>0.51000000000000001</v>
      </c>
      <c r="D29" s="116" t="s">
        <v>232</v>
      </c>
      <c r="E29">
        <f t="shared" si="1"/>
        <v>48</v>
      </c>
      <c r="F29" s="113">
        <v>51</v>
      </c>
    </row>
    <row r="30" ht="14.25">
      <c r="A30" s="115">
        <v>46093</v>
      </c>
      <c r="B30" s="109">
        <v>0.48999999999999999</v>
      </c>
      <c r="C30" s="109">
        <v>0.47999999999999998</v>
      </c>
      <c r="D30" s="116" t="s">
        <v>233</v>
      </c>
      <c r="E30">
        <f t="shared" si="1"/>
        <v>49</v>
      </c>
      <c r="F30" s="113">
        <v>48</v>
      </c>
    </row>
    <row r="31" ht="14.25">
      <c r="A31" s="115">
        <v>46100</v>
      </c>
      <c r="B31" s="109">
        <v>0.46999999999999997</v>
      </c>
      <c r="C31" s="109">
        <v>0.48999999999999999</v>
      </c>
      <c r="D31" s="116" t="s">
        <v>234</v>
      </c>
      <c r="E31">
        <f t="shared" si="1"/>
        <v>47</v>
      </c>
      <c r="F31" s="113">
        <v>49</v>
      </c>
    </row>
    <row r="32" ht="14.25">
      <c r="A32" s="115">
        <v>46107</v>
      </c>
      <c r="B32" s="109">
        <v>0.46999999999999997</v>
      </c>
      <c r="C32" s="109">
        <v>0.48999999999999999</v>
      </c>
      <c r="D32" s="116" t="s">
        <v>235</v>
      </c>
      <c r="E32">
        <f t="shared" si="1"/>
        <v>47</v>
      </c>
      <c r="F32" s="113">
        <v>49</v>
      </c>
    </row>
    <row r="33" ht="14.25">
      <c r="A33" s="115">
        <v>46114</v>
      </c>
      <c r="B33" s="109">
        <v>0.47999999999999998</v>
      </c>
      <c r="C33" s="109">
        <v>0.5</v>
      </c>
      <c r="D33" s="116" t="s">
        <v>236</v>
      </c>
      <c r="E33">
        <f t="shared" si="1"/>
        <v>48</v>
      </c>
      <c r="F33" s="113">
        <v>50</v>
      </c>
    </row>
    <row r="34" ht="14.25">
      <c r="A34" s="16"/>
      <c r="B34" s="107"/>
      <c r="C34" s="107"/>
    </row>
    <row r="35" ht="14.25">
      <c r="A35" s="16"/>
      <c r="B35" s="107"/>
      <c r="C35" s="107"/>
    </row>
    <row r="36" ht="14.25">
      <c r="A36" s="16"/>
      <c r="B36" s="107"/>
      <c r="C36" s="107"/>
    </row>
    <row r="37" ht="14.25">
      <c r="A37" s="16"/>
      <c r="B37" s="107"/>
      <c r="C37" s="107"/>
    </row>
    <row r="38" ht="14.25">
      <c r="A38" s="16"/>
      <c r="B38" s="107"/>
      <c r="C38" s="107"/>
    </row>
    <row r="39" ht="14.25">
      <c r="A39" s="16"/>
      <c r="B39" s="107"/>
      <c r="C39" s="107"/>
    </row>
    <row r="40" ht="14.25">
      <c r="A40" s="16"/>
      <c r="B40" s="107"/>
      <c r="C40" s="107"/>
    </row>
    <row r="41" ht="14.25">
      <c r="A41" s="16"/>
      <c r="B41" s="107"/>
      <c r="C41" s="107"/>
    </row>
    <row r="42" ht="14.25">
      <c r="A42" s="16"/>
      <c r="B42" s="107"/>
      <c r="C42" s="107"/>
    </row>
    <row r="43" ht="14.25">
      <c r="A43" s="16"/>
      <c r="B43" s="107"/>
      <c r="C43" s="107"/>
    </row>
    <row r="44" ht="14.25">
      <c r="A44" s="16"/>
      <c r="B44" s="107"/>
      <c r="C44" s="107"/>
    </row>
    <row r="45" ht="14.25">
      <c r="A45" s="16"/>
      <c r="B45" s="107"/>
      <c r="C45" s="10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kondrateva-av</cp:lastModifiedBy>
  <cp:revision>1</cp:revision>
  <dcterms:modified xsi:type="dcterms:W3CDTF">2026-06-08T08:56:58Z</dcterms:modified>
</cp:coreProperties>
</file>