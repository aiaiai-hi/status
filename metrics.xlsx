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1"/>
  <bookViews>
    <workbookView xWindow="360" yWindow="15" windowWidth="20955" windowHeight="9720" activeTab="1"/>
  </bookViews>
  <sheets>
    <sheet name="СВОД" sheetId="1" state="visible" r:id="rId2"/>
    <sheet name="Основное" sheetId="2" state="visible" r:id="rId3"/>
    <sheet name="Легенда" sheetId="3" state="visible" r:id="rId4"/>
    <sheet name="Изменения" sheetId="4" state="visible" r:id="rId5"/>
    <sheet name="Связанные показатели" sheetId="5" state="visible" r:id="rId6"/>
    <sheet name="Матрица потенциальных операций" sheetId="6" state="hidden" r:id="rId7"/>
    <sheet name="БМО" sheetId="7" state="visible" r:id="rId8"/>
  </sheets>
  <definedNames>
    <definedName name="_xlnm._FilterDatabase" localSheetId="1" hidden="1">Основное!$A$1:$O$915</definedName>
    <definedName name="_xlnm._FilterDatabase" localSheetId="1" hidden="1">Основное!$A$1:$O$915</definedName>
  </definedNames>
  <calcPr/>
  <pivotCaches>
    <pivotCache cacheId="0" r:id="rId1"/>
  </pivotCaches>
</workbook>
</file>

<file path=xl/sharedStrings.xml><?xml version="1.0" encoding="utf-8"?>
<sst xmlns="http://schemas.openxmlformats.org/spreadsheetml/2006/main" count="230" uniqueCount="230">
  <si>
    <t xml:space="preserve">Сумма по полю value_s</t>
  </si>
  <si>
    <t xml:space="preserve">Названия столбцов</t>
  </si>
  <si>
    <t xml:space="preserve">Названия строк</t>
  </si>
  <si>
    <t>metric_name</t>
  </si>
  <si>
    <t>deviation_name</t>
  </si>
  <si>
    <t>(пусто)</t>
  </si>
  <si>
    <t>metric_smr_1</t>
  </si>
  <si>
    <t xml:space="preserve">Количество активных видов отклонений за период</t>
  </si>
  <si>
    <t>metric_smr_11</t>
  </si>
  <si>
    <t xml:space="preserve">Количество видов отклонений в системе</t>
  </si>
  <si>
    <t>metric_smr_12</t>
  </si>
  <si>
    <t xml:space="preserve">Приостановка отклонения</t>
  </si>
  <si>
    <t>metric_smr_13</t>
  </si>
  <si>
    <t xml:space="preserve">Деактивация отклонения</t>
  </si>
  <si>
    <t>metric_smr_14</t>
  </si>
  <si>
    <t xml:space="preserve">Внедрение нового отклонения</t>
  </si>
  <si>
    <t>metric_smr_2</t>
  </si>
  <si>
    <t xml:space="preserve">Количество подразделений с отклонениями</t>
  </si>
  <si>
    <t>metric_smr_3</t>
  </si>
  <si>
    <t xml:space="preserve">Количество сотрудников с отклонениями</t>
  </si>
  <si>
    <t>metric_smr_36</t>
  </si>
  <si>
    <t xml:space="preserve">Доля устраненных отклонений в течение 8 недель</t>
  </si>
  <si>
    <t>metric_smr_37</t>
  </si>
  <si>
    <t xml:space="preserve">Средняя скорость устранения отклонений</t>
  </si>
  <si>
    <t>metric_smr_38</t>
  </si>
  <si>
    <t xml:space="preserve">Количество родительских задач</t>
  </si>
  <si>
    <t>metric_smr_39</t>
  </si>
  <si>
    <t xml:space="preserve">Количество эскалированных задач</t>
  </si>
  <si>
    <t>metric_smr_4</t>
  </si>
  <si>
    <t xml:space="preserve">Средний счетчик повторов отклонений</t>
  </si>
  <si>
    <t>metric_smr_5</t>
  </si>
  <si>
    <t xml:space="preserve">Средняя пораженность отклонениями</t>
  </si>
  <si>
    <t>metric_smr_42</t>
  </si>
  <si>
    <t xml:space="preserve">Количество комментариев по задачам</t>
  </si>
  <si>
    <t>metric_smr_10</t>
  </si>
  <si>
    <t xml:space="preserve">Средняя пораженность отклонением</t>
  </si>
  <si>
    <t>metric_smr_15</t>
  </si>
  <si>
    <t xml:space="preserve">Количество объектов измерения, имеющие хоть 1 цифровой след (=был на работе)</t>
  </si>
  <si>
    <t>metric_smr_16</t>
  </si>
  <si>
    <t xml:space="preserve">Количество объектов измерения, которые работали в системах-источниках для расчета метрики отклонения</t>
  </si>
  <si>
    <t>metric_smr_17</t>
  </si>
  <si>
    <t xml:space="preserve">perc_from_prev 2</t>
  </si>
  <si>
    <t>metric_smr_18</t>
  </si>
  <si>
    <t xml:space="preserve">perc_from_top 2</t>
  </si>
  <si>
    <t>metric_smr_19</t>
  </si>
  <si>
    <t xml:space="preserve">из них, Количество объектов измерения, которые фактически работали в ВСП, где должна работать (установлена) ИСУО</t>
  </si>
  <si>
    <t>metric_smr_20</t>
  </si>
  <si>
    <t xml:space="preserve">perc_from_prev 3</t>
  </si>
  <si>
    <t>metric_smr_21</t>
  </si>
  <si>
    <t xml:space="preserve">perc_from_top 3</t>
  </si>
  <si>
    <t>metric_smr_22</t>
  </si>
  <si>
    <t xml:space="preserve">Количество объектов измерения, преодолевших крышки и исключения</t>
  </si>
  <si>
    <t>metric_smr_23</t>
  </si>
  <si>
    <t xml:space="preserve">perc_from_prev 4</t>
  </si>
  <si>
    <t>metric_smr_24</t>
  </si>
  <si>
    <t xml:space="preserve">perc_from_top 4</t>
  </si>
  <si>
    <t>metric_smr_25</t>
  </si>
  <si>
    <t xml:space="preserve">Количество объектов измерения, по которым произошел расчет метрики</t>
  </si>
  <si>
    <t>metric_smr_26</t>
  </si>
  <si>
    <t xml:space="preserve">perc_from_prev 5</t>
  </si>
  <si>
    <t>metric_smr_27</t>
  </si>
  <si>
    <t xml:space="preserve">perc_from_top 5</t>
  </si>
  <si>
    <t>metric_smr_28</t>
  </si>
  <si>
    <t xml:space="preserve">Количество объектов отклонения </t>
  </si>
  <si>
    <t>metric_smr_29</t>
  </si>
  <si>
    <t xml:space="preserve">perc_from_prev 6</t>
  </si>
  <si>
    <t>metric_smr_30</t>
  </si>
  <si>
    <t xml:space="preserve">perc_from_top 6</t>
  </si>
  <si>
    <t>metric_smr_31</t>
  </si>
  <si>
    <t xml:space="preserve">Количество объектов отклонения, по которым назначена задача</t>
  </si>
  <si>
    <t>metric_smr_32</t>
  </si>
  <si>
    <t xml:space="preserve">perc_from_prev 7</t>
  </si>
  <si>
    <t>metric_smr_33</t>
  </si>
  <si>
    <t xml:space="preserve">perc_from_top 7</t>
  </si>
  <si>
    <t>metric_smr_34</t>
  </si>
  <si>
    <t>metric_smr_35</t>
  </si>
  <si>
    <t xml:space="preserve">Средняя скорость устранения отклонения</t>
  </si>
  <si>
    <t>metric_smr_40</t>
  </si>
  <si>
    <t>metric_smr_41</t>
  </si>
  <si>
    <t>metric_smr_43</t>
  </si>
  <si>
    <t>metric_smr_7</t>
  </si>
  <si>
    <t xml:space="preserve">Средний счетчик повторов отклонения</t>
  </si>
  <si>
    <t>metric_smr_8</t>
  </si>
  <si>
    <t xml:space="preserve">Количество подразделений с отклонением</t>
  </si>
  <si>
    <t>metric_smr_9</t>
  </si>
  <si>
    <t xml:space="preserve">Количество сотрудников с отклонением</t>
  </si>
  <si>
    <t>metric_smr_44</t>
  </si>
  <si>
    <t xml:space="preserve">QAU Количество уникальных пользователей в квартал</t>
  </si>
  <si>
    <t>metric_smr_45</t>
  </si>
  <si>
    <t xml:space="preserve">Целевое значение по отклонению</t>
  </si>
  <si>
    <t xml:space="preserve">Низкая доля операций, подписанных с использованием БМО</t>
  </si>
  <si>
    <t>metric_smr_46</t>
  </si>
  <si>
    <t xml:space="preserve">Бизнес-метрика. Доля БМО по Банку</t>
  </si>
  <si>
    <t xml:space="preserve">Общий итог</t>
  </si>
  <si>
    <t>date_end</t>
  </si>
  <si>
    <t>value_s</t>
  </si>
  <si>
    <t>metric_id</t>
  </si>
  <si>
    <t>СЛАЙД</t>
  </si>
  <si>
    <t>ЕИ</t>
  </si>
  <si>
    <t>Период</t>
  </si>
  <si>
    <t>level</t>
  </si>
  <si>
    <t>level_name</t>
  </si>
  <si>
    <t>comment_theme</t>
  </si>
  <si>
    <t>шт.</t>
  </si>
  <si>
    <t>нед.</t>
  </si>
  <si>
    <t>Банк</t>
  </si>
  <si>
    <t>чел.</t>
  </si>
  <si>
    <t>повтор.</t>
  </si>
  <si>
    <t>%</t>
  </si>
  <si>
    <t xml:space="preserve">КПЭ очереди ВСП</t>
  </si>
  <si>
    <t xml:space="preserve">Высокая доля перенаправлений на новую услугу</t>
  </si>
  <si>
    <t xml:space="preserve">Высокая доля обслуживания нецелевых клиентов</t>
  </si>
  <si>
    <t xml:space="preserve">Вызов талона из списка Сброшенные другими</t>
  </si>
  <si>
    <t xml:space="preserve">Высокая доля зарегистрированных талонов по Спец. Регистрации по подразделению</t>
  </si>
  <si>
    <t xml:space="preserve">Вызов сотрудником талона из Отложенных талонов  другими сотрудниками</t>
  </si>
  <si>
    <t xml:space="preserve">Высокая доля жалоб по ВСП</t>
  </si>
  <si>
    <t xml:space="preserve">Высокое время ожидания в кассу</t>
  </si>
  <si>
    <t xml:space="preserve">Нарушение продолжительности перерывов в работе</t>
  </si>
  <si>
    <t xml:space="preserve">Недоработки сотрудника по месяцам</t>
  </si>
  <si>
    <t xml:space="preserve">Нарушение стандарта СТАТУС. Пользователь регулярно не входит в СТАТУС</t>
  </si>
  <si>
    <t xml:space="preserve">Высокая доля нарушений стандарта работы с задачами ИС СТАТУС</t>
  </si>
  <si>
    <t xml:space="preserve">Низкая продуктивность сотрудника за период</t>
  </si>
  <si>
    <t xml:space="preserve">Низкая конверсия ДК</t>
  </si>
  <si>
    <t xml:space="preserve">Низкая конверсия НС</t>
  </si>
  <si>
    <t xml:space="preserve">Низкая конверсия ДБО с авторизацией</t>
  </si>
  <si>
    <t xml:space="preserve">Некорректное перенаправление клиента на новую услугу (не в начало очереди)</t>
  </si>
  <si>
    <t xml:space="preserve">Несвоевременное завершение работы с клиентами (по ИСУО)</t>
  </si>
  <si>
    <t xml:space="preserve">Несвоевременное начало работы с клиентами (по ИСУО)</t>
  </si>
  <si>
    <t xml:space="preserve">Несоблюдение графика отпусков</t>
  </si>
  <si>
    <t xml:space="preserve">Отсутствие планового графика на начало месяца</t>
  </si>
  <si>
    <t xml:space="preserve">Переработки сотрудника по месяцам</t>
  </si>
  <si>
    <t xml:space="preserve">Подозрение фальсификации данных по клиентопотоку - перенаправлен и сброшен</t>
  </si>
  <si>
    <t xml:space="preserve">Работа сотрудника в ПО, непредусмотренном должностными инструкциями</t>
  </si>
  <si>
    <t xml:space="preserve">РВСП не подключается к обслуживанию клиентов в ИСУО</t>
  </si>
  <si>
    <t>мес.</t>
  </si>
  <si>
    <t>Другое</t>
  </si>
  <si>
    <t xml:space="preserve">Комментарии к выполненным мероприятиям</t>
  </si>
  <si>
    <t xml:space="preserve">Обратная связь по интерфейсу</t>
  </si>
  <si>
    <t xml:space="preserve">Обратная связь по предлагаемым действиям</t>
  </si>
  <si>
    <t xml:space="preserve">Обратная связь по расчетам отклонения</t>
  </si>
  <si>
    <t>ERROR</t>
  </si>
  <si>
    <t>4_2025</t>
  </si>
  <si>
    <t>1_2026</t>
  </si>
  <si>
    <t xml:space="preserve">Высокая доля талонов по специальной регистрации</t>
  </si>
  <si>
    <t xml:space="preserve">Отклонение по боевой численности ВСП</t>
  </si>
  <si>
    <t xml:space="preserve">Обозначение цвета ячеек и шрифтов</t>
  </si>
  <si>
    <t>значение</t>
  </si>
  <si>
    <t xml:space="preserve">- в поле вставлена формула/ссылка на ячейку в книге с аналогичной информацией с целью группового редактирования (названия показателей/отклонения и т.д.)</t>
  </si>
  <si>
    <t>текст</t>
  </si>
  <si>
    <t xml:space="preserve">- информация, на которую нужно обратить пристальное внимание или требующая уточнений в ходе обсуждения бизнес-требований на следующих стадиях разработки</t>
  </si>
  <si>
    <t xml:space="preserve">текст </t>
  </si>
  <si>
    <t xml:space="preserve">- наименование используемых таблиц и атрибутов при расчете показателей и для вывода в поля Детали</t>
  </si>
  <si>
    <t>ГДЕ</t>
  </si>
  <si>
    <t xml:space="preserve">AS IS</t>
  </si>
  <si>
    <t xml:space="preserve">TO BE</t>
  </si>
  <si>
    <r>
      <t xml:space="preserve">Название показателя </t>
    </r>
    <r>
      <rPr>
        <b/>
        <sz val="12"/>
        <color rgb="FF0070C0"/>
        <rFont val="Calibri"/>
        <scheme val="minor"/>
      </rPr>
      <t>metric_name</t>
    </r>
  </si>
  <si>
    <r>
      <t xml:space="preserve">Код метрики </t>
    </r>
    <r>
      <rPr>
        <b/>
        <sz val="12"/>
        <color rgb="FF0070C0"/>
        <rFont val="Calibri"/>
        <scheme val="minor"/>
      </rPr>
      <t>mba</t>
    </r>
  </si>
  <si>
    <r>
      <rPr>
        <b/>
        <sz val="12"/>
        <color theme="1"/>
        <rFont val="Calibri"/>
        <scheme val="minor"/>
      </rPr>
      <t xml:space="preserve">Последовательность метрик/ </t>
    </r>
    <r>
      <rPr>
        <b/>
        <sz val="12"/>
        <color rgb="FF0070C0"/>
        <rFont val="Calibri"/>
        <scheme val="minor"/>
      </rPr>
      <t>order_num</t>
    </r>
  </si>
  <si>
    <t>displayed_order</t>
  </si>
  <si>
    <t xml:space="preserve">Уровень агрегации</t>
  </si>
  <si>
    <t xml:space="preserve">Единица измерения</t>
  </si>
  <si>
    <t>Бизнес-требования</t>
  </si>
  <si>
    <t xml:space="preserve">Функциональные (системные) требования</t>
  </si>
  <si>
    <t xml:space="preserve">Новый/ Существующий показатель</t>
  </si>
  <si>
    <t>Комментарии</t>
  </si>
  <si>
    <t xml:space="preserve">Этап воронки</t>
  </si>
  <si>
    <t xml:space="preserve">ТОП воронки</t>
  </si>
  <si>
    <t>OPER_NUM</t>
  </si>
  <si>
    <t>OPER_NAME</t>
  </si>
  <si>
    <t xml:space="preserve">Дебетовые карты</t>
  </si>
  <si>
    <t xml:space="preserve">Регистрация нового клиента (физического лица)</t>
  </si>
  <si>
    <t>*</t>
  </si>
  <si>
    <t xml:space="preserve">Подключение ДБО</t>
  </si>
  <si>
    <t xml:space="preserve">Оформление заявки на выпуск дебетовой карты</t>
  </si>
  <si>
    <t xml:space="preserve">Оформление заявления на закрытие дебетовой карты</t>
  </si>
  <si>
    <t xml:space="preserve">Оформление заявления на перевыпуск дебетовой карты</t>
  </si>
  <si>
    <t xml:space="preserve">Подключение доп.услуг по дебетовой карте: страхование, смс-информирование</t>
  </si>
  <si>
    <t xml:space="preserve">Выдача дебетовой карты</t>
  </si>
  <si>
    <t xml:space="preserve">Оформление заявления на привязку карты к программе лояльности «Урожай»</t>
  </si>
  <si>
    <t xml:space="preserve">Оформление текущего счета</t>
  </si>
  <si>
    <t xml:space="preserve">Оформление накопительного счета</t>
  </si>
  <si>
    <t xml:space="preserve">Оформление вклада</t>
  </si>
  <si>
    <t xml:space="preserve">Закрытие вклада/накопительного счета/текущего</t>
  </si>
  <si>
    <t xml:space="preserve">Перевод денежных средств со счета</t>
  </si>
  <si>
    <t xml:space="preserve">Покупка/продажа валюты безналично между счетами клиента</t>
  </si>
  <si>
    <t xml:space="preserve">Оформление анкеты-заявления на получение карты и установление кредитного лимита</t>
  </si>
  <si>
    <t xml:space="preserve">Оформление заявления о расторжении договора по кредитной карте</t>
  </si>
  <si>
    <t xml:space="preserve">Оформление заявления на перевыпуск кредитной карты</t>
  </si>
  <si>
    <t xml:space="preserve">Выдача кредитной карты</t>
  </si>
  <si>
    <t xml:space="preserve">Подписание документов для получения кредитной карты</t>
  </si>
  <si>
    <t xml:space="preserve">Оформление Анкеты-заявления на предоставление потребительского кредита</t>
  </si>
  <si>
    <t xml:space="preserve">Подписание кредитно-обеспечительной документации для получения кредита с зачислением безналично на счет</t>
  </si>
  <si>
    <t xml:space="preserve">Подписание документов на подключение ПКС (коллективное страхование)</t>
  </si>
  <si>
    <t xml:space="preserve">Оформление операции оплаты страхового коробочного продукта с безналичным перечислением со счета клиента</t>
  </si>
  <si>
    <t xml:space="preserve">Оформление Анкеты-заявления на предоставление ипотечного кредита</t>
  </si>
  <si>
    <t>Четверг</t>
  </si>
  <si>
    <t>СТАТУС</t>
  </si>
  <si>
    <t>ДСРП</t>
  </si>
  <si>
    <t xml:space="preserve">Авгкуст неделя 2</t>
  </si>
  <si>
    <t xml:space="preserve">Авгкуст неделя 3</t>
  </si>
  <si>
    <t xml:space="preserve">Авгкуст неделя 4</t>
  </si>
  <si>
    <t xml:space="preserve">Авгкуст неделя 5</t>
  </si>
  <si>
    <t xml:space="preserve">Сентябрь неделя 1</t>
  </si>
  <si>
    <t xml:space="preserve">Сентябрь неделя 2</t>
  </si>
  <si>
    <t xml:space="preserve">Сентябрь неделя 3</t>
  </si>
  <si>
    <t xml:space="preserve">Сентябрь неделя 4</t>
  </si>
  <si>
    <t xml:space="preserve">Октябрь неделя 1</t>
  </si>
  <si>
    <t xml:space="preserve">Октябрь неделя 2</t>
  </si>
  <si>
    <t xml:space="preserve">Октябрь неделя 3</t>
  </si>
  <si>
    <t xml:space="preserve">Октябрь неделя 4</t>
  </si>
  <si>
    <t xml:space="preserve">Октябрь неделя 5</t>
  </si>
  <si>
    <t xml:space="preserve">Ноябрь неделя 2</t>
  </si>
  <si>
    <t xml:space="preserve">Ноябрь неделя 3</t>
  </si>
  <si>
    <t xml:space="preserve">Ноябрь неделя 4</t>
  </si>
  <si>
    <t xml:space="preserve">Ноябрь неделя 5</t>
  </si>
  <si>
    <t xml:space="preserve">Декабрь неделя 1</t>
  </si>
  <si>
    <t xml:space="preserve">Декабрь неделя 2</t>
  </si>
  <si>
    <t xml:space="preserve">Декабрь неделя 3</t>
  </si>
  <si>
    <t xml:space="preserve">Декабрь неделя 4</t>
  </si>
  <si>
    <t xml:space="preserve">Январь неделя 3</t>
  </si>
  <si>
    <t xml:space="preserve">Январь неделя 4</t>
  </si>
  <si>
    <t xml:space="preserve">Январь неделя 5</t>
  </si>
  <si>
    <t xml:space="preserve">Февраль неделя 2</t>
  </si>
  <si>
    <t xml:space="preserve">Февраль неделя 3</t>
  </si>
  <si>
    <t xml:space="preserve">Февраль неделя 4</t>
  </si>
  <si>
    <t xml:space="preserve">Февраль неделя 5</t>
  </si>
  <si>
    <t xml:space="preserve"> Март неделя 3</t>
  </si>
  <si>
    <t xml:space="preserve"> Март неделя 4</t>
  </si>
  <si>
    <t xml:space="preserve"> Март неделя 5</t>
  </si>
  <si>
    <t xml:space="preserve"> Март неделя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</si>
</sst>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/m;@"/>
    <numFmt numFmtId="161" formatCode="dd/mm/yyyy"/>
  </numFmts>
  <fonts count="11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indexed="2"/>
      <name val="Calibri"/>
      <scheme val="minor"/>
    </font>
    <font>
      <b/>
      <sz val="11.000000"/>
      <color theme="4" tint="-0.249977111117893"/>
      <name val="Calibri"/>
      <scheme val="minor"/>
    </font>
    <font>
      <sz val="11.000000"/>
      <color theme="1" tint="0.499984740745262"/>
      <name val="Calibri"/>
      <scheme val="minor"/>
    </font>
    <font>
      <sz val="11.000000"/>
      <name val="Calibri"/>
      <scheme val="minor"/>
    </font>
    <font>
      <b/>
      <sz val="12.000000"/>
      <color rgb="FF0070C0"/>
      <name val="Calibri"/>
      <scheme val="minor"/>
    </font>
    <font>
      <b/>
      <sz val="11.000000"/>
      <color theme="1" tint="0.499984740745262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A6F2"/>
        <bgColor rgb="FFFFA6F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rgb="FF7030A0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B8E08C"/>
        <bgColor rgb="FFB8E08C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10">
    <xf fontId="0" fillId="0" borderId="0" numFmtId="0" xfId="0"/>
    <xf fontId="0" fillId="0" borderId="0" numFmtId="160" xfId="0" applyNumberFormat="1"/>
    <xf fontId="0" fillId="0" borderId="0" numFmtId="14" xfId="0" applyNumberFormat="1"/>
    <xf fontId="0" fillId="0" borderId="0" numFmtId="0" xfId="0" applyAlignment="1">
      <alignment horizontal="left"/>
    </xf>
    <xf fontId="0" fillId="0" borderId="0" numFmtId="0" xfId="0" applyAlignment="1">
      <alignment horizontal="left" indent="1"/>
    </xf>
    <xf fontId="0" fillId="2" borderId="0" numFmtId="0" xfId="0" applyFill="1" applyAlignment="1">
      <alignment horizontal="left"/>
    </xf>
    <xf fontId="0" fillId="0" borderId="0" numFmtId="0" xfId="0" applyAlignment="1">
      <alignment horizontal="center"/>
    </xf>
    <xf fontId="0" fillId="0" borderId="0" numFmtId="0" xfId="0"/>
    <xf fontId="0" fillId="3" borderId="1" numFmtId="0" xfId="0" applyFill="1" applyBorder="1" applyAlignment="1">
      <alignment horizontal="center"/>
    </xf>
    <xf fontId="0" fillId="0" borderId="0" numFmtId="14" xfId="0" applyNumberFormat="1" applyAlignment="1">
      <alignment horizontal="right"/>
    </xf>
    <xf fontId="2" fillId="0" borderId="0" numFmtId="0" xfId="0" applyFont="1" applyAlignment="1">
      <alignment horizontal="center"/>
    </xf>
    <xf fontId="0" fillId="4" borderId="0" numFmtId="0" xfId="0" applyFill="1"/>
    <xf fontId="0" fillId="4" borderId="0" numFmtId="0" xfId="0" applyFill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1" xfId="0" applyNumberFormat="1" applyAlignment="1">
      <alignment horizontal="center"/>
    </xf>
    <xf fontId="0" fillId="5" borderId="0" numFmtId="1" xfId="0" applyNumberFormat="1" applyFill="1" applyAlignment="1">
      <alignment horizontal="center"/>
    </xf>
    <xf fontId="0" fillId="5" borderId="0" numFmtId="0" xfId="0" applyFill="1" applyAlignment="1">
      <alignment horizontal="left"/>
      <protection hidden="0" locked="1"/>
    </xf>
    <xf fontId="0" fillId="0" borderId="0" numFmtId="0" xfId="0" applyAlignment="1">
      <alignment horizontal="center"/>
      <protection hidden="0" locked="1"/>
    </xf>
    <xf fontId="0" fillId="5" borderId="0" numFmtId="0" xfId="0" applyFill="1" applyAlignment="1">
      <alignment horizontal="left"/>
    </xf>
    <xf fontId="0" fillId="5" borderId="0" numFmtId="0" xfId="0" applyFill="1" applyAlignment="1">
      <alignment horizontal="center"/>
    </xf>
    <xf fontId="0" fillId="2" borderId="0" numFmtId="0" xfId="0" applyFill="1"/>
    <xf fontId="0" fillId="2" borderId="0" numFmtId="0" xfId="4" applyFill="1" applyAlignment="1">
      <alignment horizontal="left"/>
    </xf>
    <xf fontId="0" fillId="0" borderId="0" numFmtId="161" xfId="0" applyNumberFormat="1" applyAlignment="1">
      <alignment horizontal="right"/>
    </xf>
    <xf fontId="0" fillId="6" borderId="0" numFmtId="0" xfId="0" applyFill="1"/>
    <xf fontId="0" fillId="7" borderId="0" numFmtId="0" xfId="0" applyFill="1"/>
    <xf fontId="0" fillId="7" borderId="0" numFmtId="0" xfId="0" applyFill="1" applyAlignment="1">
      <alignment horizontal="left"/>
    </xf>
    <xf fontId="0" fillId="6" borderId="0" numFmtId="0" xfId="0" applyFill="1" applyAlignment="1">
      <alignment horizontal="left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0" xfId="0">
      <protection hidden="0" locked="1"/>
    </xf>
    <xf fontId="3" fillId="0" borderId="0" numFmtId="0" xfId="0" applyFont="1"/>
    <xf fontId="4" fillId="8" borderId="2" numFmtId="0" xfId="0" applyFont="1" applyFill="1" applyBorder="1" applyAlignment="1">
      <alignment horizontal="left" vertical="center" wrapText="1"/>
    </xf>
    <xf fontId="0" fillId="0" borderId="0" numFmtId="0" xfId="0" quotePrefix="1"/>
    <xf fontId="5" fillId="0" borderId="0" numFmtId="0" xfId="0" applyFont="1"/>
    <xf fontId="6" fillId="9" borderId="0" numFmtId="0" xfId="0" applyFont="1" applyFill="1" applyAlignment="1">
      <alignment horizontal="left" vertical="center" wrapText="1"/>
    </xf>
    <xf fontId="2" fillId="0" borderId="3" numFmtId="0" xfId="0" applyFont="1" applyBorder="1" applyAlignment="1">
      <alignment horizontal="center"/>
    </xf>
    <xf fontId="2" fillId="10" borderId="3" numFmtId="0" xfId="0" applyFont="1" applyFill="1" applyBorder="1" applyAlignment="1">
      <alignment horizontal="center"/>
    </xf>
    <xf fontId="2" fillId="7" borderId="4" numFmtId="0" xfId="0" applyFont="1" applyFill="1" applyBorder="1" applyAlignment="1">
      <alignment horizontal="center"/>
    </xf>
    <xf fontId="1" fillId="0" borderId="5" numFmtId="0" xfId="1" applyFont="1" applyBorder="1" applyAlignment="1">
      <alignment horizontal="left" vertical="center" wrapText="1"/>
    </xf>
    <xf fontId="0" fillId="10" borderId="3" numFmtId="0" xfId="0" applyFill="1" applyBorder="1" applyAlignment="1">
      <alignment vertical="top" wrapText="1"/>
    </xf>
    <xf fontId="0" fillId="7" borderId="4" numFmtId="0" xfId="0" applyFill="1" applyBorder="1" applyAlignment="1">
      <alignment vertical="top" wrapText="1"/>
    </xf>
    <xf fontId="1" fillId="0" borderId="6" numFmtId="0" xfId="1" applyFont="1" applyBorder="1" applyAlignment="1">
      <alignment horizontal="left" vertical="center" wrapText="1"/>
    </xf>
    <xf fontId="1" fillId="0" borderId="3" numFmtId="0" xfId="1" applyFont="1" applyBorder="1" applyAlignment="1">
      <alignment vertical="center" wrapText="1"/>
    </xf>
    <xf fontId="0" fillId="0" borderId="3" numFmtId="0" xfId="0" applyBorder="1" applyAlignment="1">
      <alignment vertical="center" wrapText="1"/>
    </xf>
    <xf fontId="7" fillId="0" borderId="0" numFmtId="0" xfId="0" applyFont="1"/>
    <xf fontId="0" fillId="0" borderId="0" numFmtId="0" xfId="0" applyAlignment="1">
      <alignment wrapText="1"/>
    </xf>
    <xf fontId="8" fillId="0" borderId="0" numFmtId="0" xfId="0" applyFont="1"/>
    <xf fontId="3" fillId="11" borderId="7" numFmtId="0" xfId="0" applyFont="1" applyFill="1" applyBorder="1" applyAlignment="1">
      <alignment horizontal="center" vertical="center" wrapText="1"/>
    </xf>
    <xf fontId="9" fillId="11" borderId="7" numFmtId="0" xfId="0" applyFont="1" applyFill="1" applyBorder="1" applyAlignment="1">
      <alignment horizontal="center" vertical="center" wrapText="1"/>
    </xf>
    <xf fontId="3" fillId="11" borderId="1" numFmtId="0" xfId="0" applyFont="1" applyFill="1" applyBorder="1" applyAlignment="1">
      <alignment horizontal="center" vertical="center" wrapText="1"/>
    </xf>
    <xf fontId="3" fillId="12" borderId="1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vertical="center" wrapText="1"/>
    </xf>
    <xf fontId="0" fillId="13" borderId="8" numFmtId="0" xfId="0" applyFill="1" applyBorder="1" applyAlignment="1">
      <alignment horizontal="left" vertical="center" wrapText="1"/>
    </xf>
    <xf fontId="0" fillId="0" borderId="3" numFmtId="0" xfId="0" applyBorder="1" applyAlignment="1">
      <alignment horizontal="center" vertical="center"/>
    </xf>
    <xf fontId="2" fillId="9" borderId="3" numFmtId="0" xfId="0" applyFont="1" applyFill="1" applyBorder="1" applyAlignment="1">
      <alignment horizontal="center" vertical="center" wrapText="1"/>
    </xf>
    <xf fontId="2" fillId="9" borderId="3" numFmtId="49" xfId="0" applyNumberFormat="1" applyFont="1" applyFill="1" applyBorder="1" applyAlignment="1">
      <alignment horizontal="center" vertical="center" wrapText="1"/>
    </xf>
    <xf fontId="0" fillId="9" borderId="3" numFmtId="0" xfId="0" applyFill="1" applyBorder="1" applyAlignment="1">
      <alignment horizontal="center" vertical="center" wrapText="1"/>
    </xf>
    <xf fontId="8" fillId="9" borderId="3" numFmtId="0" xfId="0" applyFont="1" applyFill="1" applyBorder="1" applyAlignment="1">
      <alignment horizontal="center" vertical="center" wrapText="1"/>
    </xf>
    <xf fontId="0" fillId="9" borderId="5" numFmtId="0" xfId="0" applyFill="1" applyBorder="1" applyAlignment="1">
      <alignment horizontal="center" vertical="center" wrapText="1"/>
    </xf>
    <xf fontId="0" fillId="13" borderId="1" numFmtId="0" xfId="0" applyFill="1" applyBorder="1" applyAlignment="1">
      <alignment horizontal="left" vertical="center" wrapText="1"/>
    </xf>
    <xf fontId="0" fillId="13" borderId="0" numFmtId="0" xfId="0" applyFill="1" applyAlignment="1">
      <alignment vertical="center" wrapText="1"/>
    </xf>
    <xf fontId="7" fillId="13" borderId="0" numFmtId="0" xfId="0" applyFont="1" applyFill="1" applyAlignment="1">
      <alignment vertical="center" wrapText="1"/>
    </xf>
    <xf fontId="0" fillId="0" borderId="3" numFmtId="0" xfId="0" applyBorder="1" applyAlignment="1">
      <alignment horizontal="left" vertical="center" wrapText="1"/>
    </xf>
    <xf fontId="8" fillId="9" borderId="4" numFmtId="0" xfId="0" applyFont="1" applyFill="1" applyBorder="1" applyAlignment="1">
      <alignment horizontal="center" vertical="center" wrapText="1"/>
    </xf>
    <xf fontId="0" fillId="13" borderId="1" numFmtId="0" xfId="0" applyFill="1" applyBorder="1" applyAlignment="1">
      <alignment horizontal="center" vertical="center" wrapText="1"/>
    </xf>
    <xf fontId="0" fillId="13" borderId="0" numFmtId="0" xfId="0" applyFill="1" applyAlignment="1">
      <alignment horizontal="left" vertical="center" wrapText="1"/>
    </xf>
    <xf fontId="0" fillId="13" borderId="9" numFmtId="0" xfId="0" applyFill="1" applyBorder="1" applyAlignment="1">
      <alignment horizontal="left" vertical="center" wrapText="1"/>
    </xf>
    <xf fontId="0" fillId="13" borderId="9" numFmtId="0" xfId="0" applyFill="1" applyBorder="1" applyAlignment="1">
      <alignment vertical="center" wrapText="1"/>
    </xf>
    <xf fontId="10" fillId="0" borderId="0" numFmtId="0" xfId="0" applyFont="1" applyAlignment="1">
      <alignment vertical="center" wrapText="1"/>
    </xf>
    <xf fontId="2" fillId="9" borderId="1" numFmtId="0" xfId="0" applyFont="1" applyFill="1" applyBorder="1" applyAlignment="1">
      <alignment horizontal="left" vertical="center" wrapText="1"/>
    </xf>
    <xf fontId="0" fillId="13" borderId="1" numFmtId="0" xfId="0" applyFill="1" applyBorder="1" applyAlignment="1">
      <alignment vertical="center" wrapText="1"/>
    </xf>
    <xf fontId="10" fillId="13" borderId="0" numFmtId="0" xfId="0" applyFont="1" applyFill="1" applyAlignment="1">
      <alignment vertical="center" wrapText="1"/>
    </xf>
    <xf fontId="0" fillId="0" borderId="8" numFmtId="0" xfId="0" applyBorder="1" applyAlignment="1">
      <alignment horizontal="center" vertical="center" wrapText="1"/>
    </xf>
    <xf fontId="0" fillId="13" borderId="10" numFmtId="0" xfId="0" applyFill="1" applyBorder="1" applyAlignment="1">
      <alignment horizontal="left" vertical="center" wrapText="1"/>
    </xf>
    <xf fontId="0" fillId="0" borderId="1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0" numFmtId="0" xfId="0" applyAlignment="1">
      <alignment vertical="center"/>
    </xf>
    <xf fontId="0" fillId="0" borderId="1" numFmtId="0" xfId="0" applyBorder="1" applyAlignment="1">
      <alignment horizontal="left" vertical="center" wrapText="1"/>
    </xf>
    <xf fontId="0" fillId="9" borderId="1" numFmtId="0" xfId="0" applyFill="1" applyBorder="1" applyAlignment="1">
      <alignment horizontal="left" vertical="center" wrapText="1"/>
    </xf>
    <xf fontId="0" fillId="0" borderId="1" numFmtId="0" xfId="0" applyBorder="1" applyAlignment="1">
      <alignment vertical="center"/>
    </xf>
    <xf fontId="7" fillId="0" borderId="0" numFmtId="0" xfId="0" applyFont="1" applyAlignment="1">
      <alignment vertical="center"/>
    </xf>
    <xf fontId="0" fillId="0" borderId="10" numFmtId="0" xfId="0" applyBorder="1" applyAlignment="1">
      <alignment horizontal="left" vertical="center" wrapText="1"/>
    </xf>
    <xf fontId="0" fillId="0" borderId="10" numFmtId="0" xfId="0" applyBorder="1" applyAlignment="1">
      <alignment horizontal="center" vertical="center" wrapText="1"/>
    </xf>
    <xf fontId="2" fillId="9" borderId="5" numFmtId="0" xfId="0" applyFont="1" applyFill="1" applyBorder="1" applyAlignment="1">
      <alignment horizontal="center" vertical="center" wrapText="1"/>
    </xf>
    <xf fontId="2" fillId="9" borderId="5" numFmtId="49" xfId="0" applyNumberFormat="1" applyFont="1" applyFill="1" applyBorder="1" applyAlignment="1">
      <alignment horizontal="center" vertical="center" wrapText="1"/>
    </xf>
    <xf fontId="8" fillId="9" borderId="11" numFmtId="0" xfId="0" applyFont="1" applyFill="1" applyBorder="1" applyAlignment="1">
      <alignment horizontal="center" vertical="center" wrapText="1"/>
    </xf>
    <xf fontId="0" fillId="13" borderId="10" numFmtId="0" xfId="0" applyFill="1" applyBorder="1" applyAlignment="1">
      <alignment horizontal="center" vertical="center" wrapText="1"/>
    </xf>
    <xf fontId="2" fillId="9" borderId="1" numFmtId="0" xfId="0" applyFont="1" applyFill="1" applyBorder="1" applyAlignment="1">
      <alignment horizontal="center" vertical="center" wrapText="1"/>
    </xf>
    <xf fontId="2" fillId="9" borderId="1" numFmtId="49" xfId="0" applyNumberFormat="1" applyFont="1" applyFill="1" applyBorder="1" applyAlignment="1">
      <alignment horizontal="center" vertical="center" wrapText="1"/>
    </xf>
    <xf fontId="0" fillId="9" borderId="12" numFmtId="0" xfId="0" applyFill="1" applyBorder="1" applyAlignment="1">
      <alignment horizontal="center" vertical="center" wrapText="1"/>
    </xf>
    <xf fontId="0" fillId="9" borderId="1" numFmtId="0" xfId="0" applyFill="1" applyBorder="1" applyAlignment="1">
      <alignment horizontal="center" vertical="center" wrapText="1"/>
    </xf>
    <xf fontId="8" fillId="9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left" vertical="center"/>
    </xf>
    <xf fontId="8" fillId="0" borderId="0" numFmtId="0" xfId="0" applyFont="1" applyAlignment="1">
      <alignment vertical="center"/>
    </xf>
    <xf fontId="2" fillId="0" borderId="1" numFmtId="0" xfId="0" applyFont="1" applyBorder="1" applyAlignment="1">
      <alignment wrapText="1"/>
    </xf>
    <xf fontId="2" fillId="0" borderId="1" numFmtId="0" xfId="0" applyFont="1" applyBorder="1" applyAlignment="1">
      <alignment horizontal="center" vertical="center" wrapText="1"/>
    </xf>
    <xf fontId="0" fillId="7" borderId="13" numFmtId="0" xfId="0" applyFill="1" applyBorder="1" applyAlignment="1">
      <alignment horizontal="center"/>
    </xf>
    <xf fontId="0" fillId="7" borderId="13" numFmtId="0" xfId="0" applyFill="1" applyBorder="1"/>
    <xf fontId="0" fillId="0" borderId="13" numFmtId="0" xfId="0" applyBorder="1" applyAlignment="1">
      <alignment horizontal="center"/>
    </xf>
    <xf fontId="0" fillId="0" borderId="13" numFmtId="0" xfId="0" applyBorder="1"/>
    <xf fontId="0" fillId="0" borderId="0" numFmtId="9" xfId="1" applyNumberFormat="1" applyAlignment="1">
      <alignment horizontal="center"/>
    </xf>
    <xf fontId="0" fillId="0" borderId="3" numFmtId="0" xfId="0" applyBorder="1" applyAlignment="1">
      <alignment horizontal="center"/>
    </xf>
    <xf fontId="0" fillId="0" borderId="3" numFmtId="9" xfId="1" applyNumberFormat="1" applyBorder="1" applyAlignment="1">
      <alignment horizontal="center"/>
    </xf>
    <xf fontId="0" fillId="5" borderId="3" numFmtId="161" xfId="0" applyNumberFormat="1" applyFill="1" applyBorder="1" applyAlignment="1">
      <alignment horizontal="center"/>
    </xf>
    <xf fontId="0" fillId="5" borderId="3" numFmtId="9" xfId="1" applyNumberFormat="1" applyFill="1" applyBorder="1" applyAlignment="1">
      <alignment horizontal="center"/>
    </xf>
    <xf fontId="0" fillId="5" borderId="3" numFmtId="0" xfId="0" applyFill="1" applyBorder="1"/>
    <xf fontId="0" fillId="0" borderId="0" numFmtId="1" xfId="0" applyNumberFormat="1"/>
    <xf fontId="0" fillId="5" borderId="3" numFmtId="0" xfId="0" applyFill="1" applyBorder="1">
      <protection hidden="0" locked="1"/>
    </xf>
    <xf fontId="0" fillId="0" borderId="3" numFmtId="161" xfId="0" applyNumberFormat="1" applyBorder="1" applyAlignment="1">
      <alignment horizontal="center"/>
    </xf>
    <xf fontId="0" fillId="0" borderId="3" numFmtId="0" xfId="0" applyBorder="1"/>
  </cellXfs>
  <cellStyles count="5">
    <cellStyle name="Гиперссылка" xfId="1" builtinId="8"/>
    <cellStyle name="Обычный" xfId="0" builtinId="0"/>
    <cellStyle name="Обычный 2" xfId="2"/>
    <cellStyle name="Обычный 3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9" Type="http://schemas.openxmlformats.org/officeDocument/2006/relationships/theme" Target="theme/theme1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916">
  <cacheSource type="worksheet">
    <worksheetSource ref="A1:K1778" sheet="Основное"/>
  </cacheSource>
  <cacheFields count="11">
    <cacheField name="date_end">
      <sharedItems containsNonDate="0" containsDate="1" containsString="0" containsBlank="1" minDate="2025-06-02T00:00:00" maxDate="2026-04-30T00:00:00" count="37"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  <d v="2025-11-13T00:00:00"/>
        <d v="2025-11-20T00:00:00"/>
        <d v="2025-11-27T00:00:00"/>
        <d v="2025-12-04T00:00:00"/>
        <d v="2025-12-11T00:00:00"/>
        <d v="2025-12-18T00:00:00"/>
        <d v="2025-12-25T00:00:00"/>
        <d v="2026-01-15T00:00:00"/>
        <d v="2026-01-22T00:00:00"/>
        <d v="2026-01-29T00:00:00"/>
        <d v="2026-02-05T00:00:00"/>
        <d v="2026-02-12T00:00:00"/>
        <d v="2026-02-19T00:00:00"/>
        <d v="2026-02-26T00:00:00"/>
        <d v="2026-03-05T00:00:00"/>
        <d v="2026-03-12T00:00:00"/>
        <d v="2026-03-19T00:00:00"/>
        <d v="2026-03-26T00:00:00"/>
        <d v="2026-04-02T00:00:00"/>
        <d v="2026-04-09T00:00:00"/>
        <d v="2025-06-02T00:00:00"/>
        <d v="2025-07-02T00:00:00"/>
        <d v="2026-04-16T00:00:00"/>
        <d v="2026-04-23T00:00:00"/>
        <d v="2026-04-30T00:00:00"/>
        <m/>
      </sharedItems>
    </cacheField>
    <cacheField name="value_s">
      <sharedItems containsString="0" containsBlank="1" containsNumber="1" minValue="-1" maxValue="2490"/>
    </cacheField>
    <cacheField name="metric_id">
      <sharedItems containsBlank="1" count="46">
        <s v="metric_smr_1"/>
        <s v="metric_smr_2"/>
        <s v="metric_smr_3"/>
        <s v="metric_smr_4"/>
        <s v="metric_smr_5"/>
        <s v="metric_smr_10"/>
        <s v="metric_smr_9"/>
        <s v="metric_smr_8"/>
        <s v="metric_smr_7"/>
        <s v="metric_smr_11"/>
        <s v="metric_smr_12"/>
        <s v="metric_smr_13"/>
        <s v="metric_smr_14"/>
        <s v="metric_smr_15"/>
        <s v="metric_smr_16"/>
        <s v="metric_smr_17"/>
        <s v="metric_smr_18"/>
        <s v="metric_smr_19"/>
        <s v="metric_smr_20"/>
        <s v="metric_smr_21"/>
        <s v="metric_smr_22"/>
        <s v="metric_smr_23"/>
        <s v="metric_smr_24"/>
        <s v="metric_smr_25"/>
        <s v="metric_smr_26"/>
        <s v="metric_smr_27"/>
        <s v="metric_smr_28"/>
        <s v="metric_smr_29"/>
        <s v="metric_smr_30"/>
        <s v="metric_smr_31"/>
        <s v="metric_smr_32"/>
        <s v="metric_smr_33"/>
        <s v="metric_smr_34"/>
        <s v="metric_smr_35"/>
        <s v="metric_smr_36"/>
        <s v="metric_smr_37"/>
        <s v="metric_smr_38"/>
        <s v="metric_smr_39"/>
        <s v="metric_smr_40"/>
        <s v="metric_smr_41"/>
        <s v="metric_smr_42"/>
        <s v="metric_smr_43"/>
        <s v="metric_smr_44"/>
        <s v="metric_smr_45"/>
        <s v="metric_smr_46"/>
        <m/>
      </sharedItems>
    </cacheField>
    <cacheField name="metric_name">
      <sharedItems containsBlank="1" count="42">
        <s v="Количество активных видов отклонений за период"/>
        <s v="Количество подразделений с отклонениями"/>
        <s v="Количество сотрудников с отклонениями"/>
        <s v="Средний счетчик повторов отклонений"/>
        <s v="Средняя пораженность отклонениями"/>
        <s v="Средняя пораженность отклонением"/>
        <s v="Количество сотрудников с отклонением"/>
        <s v="Количество подразделений с отклонением"/>
        <s v="Средний счетчик повторов отклонения"/>
        <s v="Количество видов отклонений в системе"/>
        <s v="Приостановка отклонения"/>
        <s v="Деактивация отклонения"/>
        <s v="Внедрение нового отклонения"/>
        <s v="Количество объектов измерения, имеющие хоть 1 цифровой след (=был на работе)"/>
        <s v="Количество объектов измерения, которые работали в системах-источниках для расчета метрики отклонения"/>
        <s v="perc_from_prev 2"/>
        <s v="perc_from_top 2"/>
        <s v="из них, Количество объектов измерения, которые фактически работали в ВСП, где должна работать (установлена) ИСУО"/>
        <s v="perc_from_prev 3"/>
        <s v="perc_from_top 3"/>
        <s v="Количество объектов измерения, преодолевших крышки и исключения"/>
        <s v="perc_from_prev 4"/>
        <s v="perc_from_top 4"/>
        <s v="Количество объектов измерения, по которым произошел расчет метрики"/>
        <s v="perc_from_prev 5"/>
        <s v="perc_from_top 5"/>
        <s v="Количество объектов отклонения "/>
        <s v="perc_from_prev 6"/>
        <s v="perc_from_top 6"/>
        <s v="Количество объектов отклонения, по которым назначена задача"/>
        <s v="perc_from_prev 7"/>
        <s v="perc_from_top 7"/>
        <s v="Доля устраненных отклонений в течение 8 недель"/>
        <s v="Средняя скорость устранения отклонения"/>
        <s v="Средняя скорость устранения отклонений"/>
        <s v="Количество родительских задач"/>
        <s v="Количество эскалированных задач"/>
        <s v="Количество комментариев по задачам"/>
        <s v="QAU Количество уникальных пользователей в квартал"/>
        <s v="Целевое значение по отклонению"/>
        <s v="Бизнес-метрика. Доля БМО по Банку"/>
        <m/>
      </sharedItems>
    </cacheField>
    <cacheField name="СЛАЙД">
      <sharedItems containsString="0" containsBlank="1" containsNumber="1" containsInteger="1" minValue="1" maxValue="3" count="4">
        <n v="1"/>
        <n v="3"/>
        <n v="2"/>
        <m/>
      </sharedItems>
    </cacheField>
    <cacheField name="ЕИ">
      <sharedItems containsBlank="1"/>
    </cacheField>
    <cacheField name="Период">
      <sharedItems containsBlank="1"/>
    </cacheField>
    <cacheField name="level">
      <sharedItems containsBlank="1"/>
    </cacheField>
    <cacheField name="level_name">
      <sharedItems containsNonDate="0" containsString="0" containsBlank="1"/>
    </cacheField>
    <cacheField name="deviation_name">
      <sharedItems containsBlank="1" count="29">
        <m/>
        <s v="Низкая доля операций, подписанных с использованием БМО"/>
        <s v="КПЭ очереди ВСП"/>
        <s v="Высокая доля перенаправлений на новую услугу"/>
        <s v="Высокая доля обслуживания нецелевых клиентов"/>
        <s v="Вызов талона из списка Сброшенные другими"/>
        <s v="Высокая доля зарегистрированных талонов по Спец. Регистрации по подразделению"/>
        <s v="Вызов сотрудником талона из Отложенных талонов  другими сотрудниками"/>
        <s v="Высокая доля жалоб по ВСП"/>
        <s v="Высокое время ожидания в кассу"/>
        <s v="Нарушение продолжительности перерывов в работе"/>
        <s v="Недоработки сотрудника по месяцам"/>
        <s v="Нарушение стандарта СТАТУС. Пользователь регулярно не входит в СТАТУС"/>
        <s v="Высокая доля нарушений стандарта работы с задачами ИС СТАТУС"/>
        <s v="Низкая продуктивность сотрудника за период"/>
        <s v="Низкая конверсия ДК"/>
        <s v="Низкая конверсия НС"/>
        <s v="Низкая конверсия ДБО с авторизацией"/>
        <s v="Некорректное перенаправление клиента на новую услугу (не в начало очереди)"/>
        <s v="Несвоевременное завершение работы с клиентами (по ИСУО)"/>
        <s v="Несвоевременное начало работы с клиентами (по ИСУО)"/>
        <s v="Несоблюдение графика отпусков"/>
        <s v="Отсутствие планового графика на начало месяца"/>
        <s v="Переработки сотрудника по месяцам"/>
        <s v="Подозрение фальсификации данных по клиентопотоку - перенаправлен и сброшен"/>
        <s v="Работа сотрудника в ПО, непредусмотренном должностными инструкциями"/>
        <s v="РВСП не подключается к обслуживанию клиентов в ИСУО"/>
        <s v="Высокая доля талонов по специальной регистрации"/>
        <s v="Отклонение по боевой численности ВСП"/>
      </sharedItems>
    </cacheField>
    <cacheField name="comment_theme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6">
  <r>
    <x v="0"/>
    <n v="34"/>
    <x v="0"/>
    <x v="0"/>
    <x v="0"/>
    <s v="шт."/>
    <s v="нед."/>
    <s v="Банк"/>
    <m/>
    <x v="0"/>
    <m/>
  </r>
  <r>
    <x v="1"/>
    <n v="34"/>
    <x v="0"/>
    <x v="0"/>
    <x v="0"/>
    <s v="шт."/>
    <s v="нед."/>
    <s v="Банк"/>
    <m/>
    <x v="0"/>
    <m/>
  </r>
  <r>
    <x v="2"/>
    <n v="32"/>
    <x v="0"/>
    <x v="0"/>
    <x v="0"/>
    <s v="шт."/>
    <s v="нед."/>
    <s v="Банк"/>
    <m/>
    <x v="0"/>
    <m/>
  </r>
  <r>
    <x v="3"/>
    <n v="32"/>
    <x v="0"/>
    <x v="0"/>
    <x v="0"/>
    <s v="шт."/>
    <s v="нед."/>
    <s v="Банк"/>
    <m/>
    <x v="0"/>
    <m/>
  </r>
  <r>
    <x v="4"/>
    <n v="25"/>
    <x v="0"/>
    <x v="0"/>
    <x v="0"/>
    <s v="шт."/>
    <s v="нед."/>
    <s v="Банк"/>
    <m/>
    <x v="0"/>
    <m/>
  </r>
  <r>
    <x v="5"/>
    <n v="25"/>
    <x v="0"/>
    <x v="0"/>
    <x v="0"/>
    <s v="шт."/>
    <s v="нед."/>
    <s v="Банк"/>
    <m/>
    <x v="0"/>
    <m/>
  </r>
  <r>
    <x v="6"/>
    <n v="25"/>
    <x v="0"/>
    <x v="0"/>
    <x v="0"/>
    <s v="шт."/>
    <s v="нед."/>
    <s v="Банк"/>
    <m/>
    <x v="0"/>
    <m/>
  </r>
  <r>
    <x v="7"/>
    <n v="25"/>
    <x v="0"/>
    <x v="0"/>
    <x v="0"/>
    <s v="шт."/>
    <s v="нед."/>
    <s v="Банк"/>
    <m/>
    <x v="0"/>
    <m/>
  </r>
  <r>
    <x v="8"/>
    <n v="25"/>
    <x v="0"/>
    <x v="0"/>
    <x v="0"/>
    <s v="шт."/>
    <s v="нед."/>
    <s v="Банк"/>
    <m/>
    <x v="0"/>
    <m/>
  </r>
  <r>
    <x v="9"/>
    <n v="23"/>
    <x v="0"/>
    <x v="0"/>
    <x v="0"/>
    <s v="шт."/>
    <s v="нед."/>
    <s v="Банк"/>
    <m/>
    <x v="0"/>
    <m/>
  </r>
  <r>
    <x v="10"/>
    <n v="23"/>
    <x v="0"/>
    <x v="0"/>
    <x v="0"/>
    <s v="шт."/>
    <s v="нед."/>
    <s v="Банк"/>
    <m/>
    <x v="0"/>
    <m/>
  </r>
  <r>
    <x v="11"/>
    <n v="23"/>
    <x v="0"/>
    <x v="0"/>
    <x v="0"/>
    <s v="шт."/>
    <s v="нед."/>
    <s v="Банк"/>
    <m/>
    <x v="0"/>
    <m/>
  </r>
  <r>
    <x v="12"/>
    <n v="23"/>
    <x v="0"/>
    <x v="0"/>
    <x v="0"/>
    <s v="шт."/>
    <s v="нед."/>
    <s v="Банк"/>
    <m/>
    <x v="0"/>
    <m/>
  </r>
  <r>
    <x v="13"/>
    <n v="25"/>
    <x v="0"/>
    <x v="0"/>
    <x v="0"/>
    <s v="шт."/>
    <s v="нед."/>
    <s v="Банк"/>
    <m/>
    <x v="0"/>
    <m/>
  </r>
  <r>
    <x v="14"/>
    <n v="24"/>
    <x v="0"/>
    <x v="0"/>
    <x v="0"/>
    <s v="шт."/>
    <s v="нед."/>
    <s v="Банк"/>
    <m/>
    <x v="0"/>
    <m/>
  </r>
  <r>
    <x v="15"/>
    <n v="24"/>
    <x v="0"/>
    <x v="0"/>
    <x v="0"/>
    <s v="шт."/>
    <s v="нед."/>
    <s v="Банк"/>
    <m/>
    <x v="0"/>
    <m/>
  </r>
  <r>
    <x v="16"/>
    <n v="16"/>
    <x v="0"/>
    <x v="0"/>
    <x v="0"/>
    <s v="шт."/>
    <s v="нед."/>
    <s v="Банк"/>
    <m/>
    <x v="0"/>
    <m/>
  </r>
  <r>
    <x v="17"/>
    <n v="16"/>
    <x v="0"/>
    <x v="0"/>
    <x v="0"/>
    <s v="шт."/>
    <s v="нед."/>
    <s v="Банк"/>
    <m/>
    <x v="0"/>
    <m/>
  </r>
  <r>
    <x v="18"/>
    <n v="16"/>
    <x v="0"/>
    <x v="0"/>
    <x v="0"/>
    <s v="шт."/>
    <s v="нед."/>
    <s v="Банк"/>
    <m/>
    <x v="0"/>
    <m/>
  </r>
  <r>
    <x v="19"/>
    <n v="16"/>
    <x v="0"/>
    <x v="0"/>
    <x v="0"/>
    <s v="шт."/>
    <s v="нед."/>
    <s v="Банк"/>
    <m/>
    <x v="0"/>
    <m/>
  </r>
  <r>
    <x v="20"/>
    <n v="16"/>
    <x v="0"/>
    <x v="0"/>
    <x v="0"/>
    <s v="шт."/>
    <s v="нед."/>
    <s v="Банк"/>
    <m/>
    <x v="0"/>
    <m/>
  </r>
  <r>
    <x v="21"/>
    <n v="16"/>
    <x v="0"/>
    <x v="0"/>
    <x v="0"/>
    <s v="шт."/>
    <s v="нед."/>
    <s v="Банк"/>
    <m/>
    <x v="0"/>
    <m/>
  </r>
  <r>
    <x v="22"/>
    <n v="16"/>
    <x v="0"/>
    <x v="0"/>
    <x v="0"/>
    <s v="шт."/>
    <s v="нед."/>
    <s v="Банк"/>
    <m/>
    <x v="0"/>
    <m/>
  </r>
  <r>
    <x v="23"/>
    <n v="16"/>
    <x v="0"/>
    <x v="0"/>
    <x v="0"/>
    <s v="шт."/>
    <s v="нед."/>
    <s v="Банк"/>
    <m/>
    <x v="0"/>
    <m/>
  </r>
  <r>
    <x v="24"/>
    <n v="16"/>
    <x v="0"/>
    <x v="0"/>
    <x v="0"/>
    <s v="шт."/>
    <s v="нед."/>
    <s v="Банк"/>
    <m/>
    <x v="0"/>
    <m/>
  </r>
  <r>
    <x v="25"/>
    <n v="16"/>
    <x v="0"/>
    <x v="0"/>
    <x v="0"/>
    <s v="шт."/>
    <s v="нед."/>
    <s v="Банк"/>
    <m/>
    <x v="0"/>
    <m/>
  </r>
  <r>
    <x v="26"/>
    <n v="16"/>
    <x v="0"/>
    <x v="0"/>
    <x v="0"/>
    <s v="шт."/>
    <s v="нед."/>
    <s v="Банк"/>
    <m/>
    <x v="0"/>
    <m/>
  </r>
  <r>
    <x v="27"/>
    <n v="16"/>
    <x v="0"/>
    <x v="0"/>
    <x v="0"/>
    <s v="шт."/>
    <s v="нед."/>
    <s v="Банк"/>
    <m/>
    <x v="0"/>
    <m/>
  </r>
  <r>
    <x v="28"/>
    <n v="16"/>
    <x v="0"/>
    <x v="0"/>
    <x v="0"/>
    <s v="шт."/>
    <s v="нед."/>
    <s v="Банк"/>
    <m/>
    <x v="0"/>
    <m/>
  </r>
  <r>
    <x v="29"/>
    <n v="16"/>
    <x v="0"/>
    <x v="0"/>
    <x v="0"/>
    <s v="шт."/>
    <s v="нед."/>
    <s v="Банк"/>
    <m/>
    <x v="0"/>
    <m/>
  </r>
  <r>
    <x v="30"/>
    <n v="16"/>
    <x v="0"/>
    <x v="0"/>
    <x v="0"/>
    <s v="шт."/>
    <s v="нед."/>
    <s v="Банк"/>
    <m/>
    <x v="0"/>
    <m/>
  </r>
  <r>
    <x v="0"/>
    <n v="515"/>
    <x v="1"/>
    <x v="1"/>
    <x v="0"/>
    <s v="шт."/>
    <s v="нед."/>
    <s v="Банк"/>
    <m/>
    <x v="0"/>
    <m/>
  </r>
  <r>
    <x v="1"/>
    <n v="546"/>
    <x v="1"/>
    <x v="1"/>
    <x v="0"/>
    <s v="шт."/>
    <s v="нед."/>
    <s v="Банк"/>
    <m/>
    <x v="0"/>
    <m/>
  </r>
  <r>
    <x v="2"/>
    <n v="499"/>
    <x v="1"/>
    <x v="1"/>
    <x v="0"/>
    <s v="шт."/>
    <s v="нед."/>
    <s v="Банк"/>
    <m/>
    <x v="0"/>
    <m/>
  </r>
  <r>
    <x v="3"/>
    <n v="518"/>
    <x v="1"/>
    <x v="1"/>
    <x v="0"/>
    <s v="шт."/>
    <s v="нед."/>
    <s v="Банк"/>
    <m/>
    <x v="0"/>
    <m/>
  </r>
  <r>
    <x v="4"/>
    <n v="497"/>
    <x v="1"/>
    <x v="1"/>
    <x v="0"/>
    <s v="шт."/>
    <s v="нед."/>
    <s v="Банк"/>
    <m/>
    <x v="0"/>
    <m/>
  </r>
  <r>
    <x v="5"/>
    <n v="517"/>
    <x v="1"/>
    <x v="1"/>
    <x v="0"/>
    <s v="шт."/>
    <s v="нед."/>
    <s v="Банк"/>
    <m/>
    <x v="0"/>
    <m/>
  </r>
  <r>
    <x v="6"/>
    <n v="433"/>
    <x v="1"/>
    <x v="1"/>
    <x v="0"/>
    <s v="шт."/>
    <s v="нед."/>
    <s v="Банк"/>
    <m/>
    <x v="0"/>
    <m/>
  </r>
  <r>
    <x v="7"/>
    <n v="448"/>
    <x v="1"/>
    <x v="1"/>
    <x v="0"/>
    <s v="шт."/>
    <s v="нед."/>
    <s v="Банк"/>
    <m/>
    <x v="0"/>
    <m/>
  </r>
  <r>
    <x v="8"/>
    <n v="473"/>
    <x v="1"/>
    <x v="1"/>
    <x v="0"/>
    <s v="шт."/>
    <s v="нед."/>
    <s v="Банк"/>
    <m/>
    <x v="0"/>
    <m/>
  </r>
  <r>
    <x v="9"/>
    <n v="504"/>
    <x v="1"/>
    <x v="1"/>
    <x v="0"/>
    <s v="шт."/>
    <s v="нед."/>
    <s v="Банк"/>
    <m/>
    <x v="0"/>
    <m/>
  </r>
  <r>
    <x v="10"/>
    <n v="573"/>
    <x v="1"/>
    <x v="1"/>
    <x v="0"/>
    <s v="шт."/>
    <s v="нед."/>
    <s v="Банк"/>
    <m/>
    <x v="0"/>
    <m/>
  </r>
  <r>
    <x v="11"/>
    <n v="516"/>
    <x v="1"/>
    <x v="1"/>
    <x v="0"/>
    <s v="шт."/>
    <s v="нед."/>
    <s v="Банк"/>
    <m/>
    <x v="0"/>
    <m/>
  </r>
  <r>
    <x v="12"/>
    <n v="487"/>
    <x v="1"/>
    <x v="1"/>
    <x v="0"/>
    <s v="шт."/>
    <s v="нед."/>
    <s v="Банк"/>
    <m/>
    <x v="0"/>
    <m/>
  </r>
  <r>
    <x v="13"/>
    <n v="467"/>
    <x v="1"/>
    <x v="1"/>
    <x v="0"/>
    <s v="шт."/>
    <s v="нед."/>
    <s v="Банк"/>
    <m/>
    <x v="0"/>
    <m/>
  </r>
  <r>
    <x v="14"/>
    <n v="499"/>
    <x v="1"/>
    <x v="1"/>
    <x v="0"/>
    <s v="шт."/>
    <s v="нед."/>
    <s v="Банк"/>
    <m/>
    <x v="0"/>
    <m/>
  </r>
  <r>
    <x v="15"/>
    <n v="625"/>
    <x v="1"/>
    <x v="1"/>
    <x v="0"/>
    <s v="шт."/>
    <s v="нед."/>
    <s v="Банк"/>
    <m/>
    <x v="0"/>
    <m/>
  </r>
  <r>
    <x v="16"/>
    <n v="891"/>
    <x v="1"/>
    <x v="1"/>
    <x v="0"/>
    <s v="шт."/>
    <s v="нед."/>
    <s v="Банк"/>
    <m/>
    <x v="0"/>
    <m/>
  </r>
  <r>
    <x v="17"/>
    <n v="903"/>
    <x v="1"/>
    <x v="1"/>
    <x v="0"/>
    <s v="шт."/>
    <s v="нед."/>
    <s v="Банк"/>
    <m/>
    <x v="0"/>
    <m/>
  </r>
  <r>
    <x v="18"/>
    <n v="857"/>
    <x v="1"/>
    <x v="1"/>
    <x v="0"/>
    <s v="шт."/>
    <s v="нед."/>
    <s v="Банк"/>
    <m/>
    <x v="0"/>
    <m/>
  </r>
  <r>
    <x v="19"/>
    <n v="807"/>
    <x v="1"/>
    <x v="1"/>
    <x v="0"/>
    <s v="шт."/>
    <s v="нед."/>
    <s v="Банк"/>
    <m/>
    <x v="0"/>
    <m/>
  </r>
  <r>
    <x v="20"/>
    <n v="791"/>
    <x v="1"/>
    <x v="1"/>
    <x v="0"/>
    <s v="шт."/>
    <s v="нед."/>
    <s v="Банк"/>
    <m/>
    <x v="0"/>
    <m/>
  </r>
  <r>
    <x v="21"/>
    <n v="759"/>
    <x v="1"/>
    <x v="1"/>
    <x v="0"/>
    <s v="шт."/>
    <s v="нед."/>
    <s v="Банк"/>
    <m/>
    <x v="0"/>
    <m/>
  </r>
  <r>
    <x v="22"/>
    <n v="734"/>
    <x v="1"/>
    <x v="1"/>
    <x v="0"/>
    <s v="шт."/>
    <s v="нед."/>
    <s v="Банк"/>
    <m/>
    <x v="0"/>
    <m/>
  </r>
  <r>
    <x v="23"/>
    <n v="733"/>
    <x v="1"/>
    <x v="1"/>
    <x v="0"/>
    <s v="шт."/>
    <s v="нед."/>
    <s v="Банк"/>
    <m/>
    <x v="0"/>
    <m/>
  </r>
  <r>
    <x v="24"/>
    <n v="659"/>
    <x v="1"/>
    <x v="1"/>
    <x v="0"/>
    <s v="шт."/>
    <s v="нед."/>
    <s v="Банк"/>
    <m/>
    <x v="0"/>
    <m/>
  </r>
  <r>
    <x v="25"/>
    <n v="609"/>
    <x v="1"/>
    <x v="1"/>
    <x v="0"/>
    <s v="шт."/>
    <s v="нед."/>
    <s v="Банк"/>
    <m/>
    <x v="0"/>
    <m/>
  </r>
  <r>
    <x v="26"/>
    <n v="650"/>
    <x v="1"/>
    <x v="1"/>
    <x v="0"/>
    <s v="шт."/>
    <s v="нед."/>
    <s v="Банк"/>
    <m/>
    <x v="0"/>
    <m/>
  </r>
  <r>
    <x v="27"/>
    <n v="688"/>
    <x v="1"/>
    <x v="1"/>
    <x v="0"/>
    <s v="шт."/>
    <s v="нед."/>
    <s v="Банк"/>
    <m/>
    <x v="0"/>
    <m/>
  </r>
  <r>
    <x v="28"/>
    <n v="651"/>
    <x v="1"/>
    <x v="1"/>
    <x v="0"/>
    <s v="шт."/>
    <s v="нед."/>
    <s v="Банк"/>
    <m/>
    <x v="0"/>
    <m/>
  </r>
  <r>
    <x v="29"/>
    <n v="574"/>
    <x v="1"/>
    <x v="1"/>
    <x v="0"/>
    <s v="шт."/>
    <s v="нед."/>
    <s v="Банк"/>
    <m/>
    <x v="0"/>
    <m/>
  </r>
  <r>
    <x v="30"/>
    <n v="635"/>
    <x v="1"/>
    <x v="1"/>
    <x v="0"/>
    <s v="шт."/>
    <s v="нед."/>
    <s v="Банк"/>
    <m/>
    <x v="0"/>
    <m/>
  </r>
  <r>
    <x v="0"/>
    <n v="621"/>
    <x v="2"/>
    <x v="2"/>
    <x v="0"/>
    <s v="чел."/>
    <s v="нед."/>
    <s v="Банк"/>
    <m/>
    <x v="0"/>
    <m/>
  </r>
  <r>
    <x v="1"/>
    <n v="646"/>
    <x v="2"/>
    <x v="2"/>
    <x v="0"/>
    <s v="чел."/>
    <s v="нед."/>
    <s v="Банк"/>
    <m/>
    <x v="0"/>
    <m/>
  </r>
  <r>
    <x v="2"/>
    <n v="599"/>
    <x v="2"/>
    <x v="2"/>
    <x v="0"/>
    <s v="чел."/>
    <s v="нед."/>
    <s v="Банк"/>
    <m/>
    <x v="0"/>
    <m/>
  </r>
  <r>
    <x v="3"/>
    <n v="611"/>
    <x v="2"/>
    <x v="2"/>
    <x v="0"/>
    <s v="чел."/>
    <s v="нед."/>
    <s v="Банк"/>
    <m/>
    <x v="0"/>
    <m/>
  </r>
  <r>
    <x v="4"/>
    <n v="587"/>
    <x v="2"/>
    <x v="2"/>
    <x v="0"/>
    <s v="чел."/>
    <s v="нед."/>
    <s v="Банк"/>
    <m/>
    <x v="0"/>
    <m/>
  </r>
  <r>
    <x v="5"/>
    <n v="612"/>
    <x v="2"/>
    <x v="2"/>
    <x v="0"/>
    <s v="чел."/>
    <s v="нед."/>
    <s v="Банк"/>
    <m/>
    <x v="0"/>
    <m/>
  </r>
  <r>
    <x v="6"/>
    <n v="504"/>
    <x v="2"/>
    <x v="2"/>
    <x v="0"/>
    <s v="чел."/>
    <s v="нед."/>
    <s v="Банк"/>
    <m/>
    <x v="0"/>
    <m/>
  </r>
  <r>
    <x v="7"/>
    <n v="541"/>
    <x v="2"/>
    <x v="2"/>
    <x v="0"/>
    <s v="чел."/>
    <s v="нед."/>
    <s v="Банк"/>
    <m/>
    <x v="0"/>
    <m/>
  </r>
  <r>
    <x v="8"/>
    <n v="551"/>
    <x v="2"/>
    <x v="2"/>
    <x v="0"/>
    <s v="чел."/>
    <s v="нед."/>
    <s v="Банк"/>
    <m/>
    <x v="0"/>
    <m/>
  </r>
  <r>
    <x v="9"/>
    <n v="597"/>
    <x v="2"/>
    <x v="2"/>
    <x v="0"/>
    <s v="чел."/>
    <s v="нед."/>
    <s v="Банк"/>
    <m/>
    <x v="0"/>
    <m/>
  </r>
  <r>
    <x v="10"/>
    <n v="652"/>
    <x v="2"/>
    <x v="2"/>
    <x v="0"/>
    <s v="чел."/>
    <s v="нед."/>
    <s v="Банк"/>
    <m/>
    <x v="0"/>
    <m/>
  </r>
  <r>
    <x v="11"/>
    <n v="602"/>
    <x v="2"/>
    <x v="2"/>
    <x v="0"/>
    <s v="чел."/>
    <s v="нед."/>
    <s v="Банк"/>
    <m/>
    <x v="0"/>
    <m/>
  </r>
  <r>
    <x v="12"/>
    <n v="586"/>
    <x v="2"/>
    <x v="2"/>
    <x v="0"/>
    <s v="чел."/>
    <s v="нед."/>
    <s v="Банк"/>
    <m/>
    <x v="0"/>
    <m/>
  </r>
  <r>
    <x v="13"/>
    <n v="639"/>
    <x v="2"/>
    <x v="2"/>
    <x v="0"/>
    <s v="чел."/>
    <s v="нед."/>
    <s v="Банк"/>
    <m/>
    <x v="0"/>
    <m/>
  </r>
  <r>
    <x v="14"/>
    <n v="648"/>
    <x v="2"/>
    <x v="2"/>
    <x v="0"/>
    <s v="чел."/>
    <s v="нед."/>
    <s v="Банк"/>
    <m/>
    <x v="0"/>
    <m/>
  </r>
  <r>
    <x v="15"/>
    <n v="998"/>
    <x v="2"/>
    <x v="2"/>
    <x v="0"/>
    <s v="чел."/>
    <s v="нед."/>
    <s v="Банк"/>
    <m/>
    <x v="0"/>
    <m/>
  </r>
  <r>
    <x v="16"/>
    <n v="1605"/>
    <x v="2"/>
    <x v="2"/>
    <x v="0"/>
    <s v="чел."/>
    <s v="нед."/>
    <s v="Банк"/>
    <m/>
    <x v="0"/>
    <m/>
  </r>
  <r>
    <x v="17"/>
    <n v="1628"/>
    <x v="2"/>
    <x v="2"/>
    <x v="0"/>
    <s v="чел."/>
    <s v="нед."/>
    <s v="Банк"/>
    <m/>
    <x v="0"/>
    <m/>
  </r>
  <r>
    <x v="18"/>
    <n v="1496"/>
    <x v="2"/>
    <x v="2"/>
    <x v="0"/>
    <s v="чел."/>
    <s v="нед."/>
    <s v="Банк"/>
    <m/>
    <x v="0"/>
    <m/>
  </r>
  <r>
    <x v="19"/>
    <n v="1279"/>
    <x v="2"/>
    <x v="2"/>
    <x v="0"/>
    <s v="чел."/>
    <s v="нед."/>
    <s v="Банк"/>
    <m/>
    <x v="0"/>
    <m/>
  </r>
  <r>
    <x v="20"/>
    <n v="1309"/>
    <x v="2"/>
    <x v="2"/>
    <x v="0"/>
    <s v="чел."/>
    <s v="нед."/>
    <s v="Банк"/>
    <m/>
    <x v="0"/>
    <m/>
  </r>
  <r>
    <x v="21"/>
    <n v="1071"/>
    <x v="2"/>
    <x v="2"/>
    <x v="0"/>
    <s v="чел."/>
    <s v="нед."/>
    <s v="Банк"/>
    <m/>
    <x v="0"/>
    <m/>
  </r>
  <r>
    <x v="22"/>
    <n v="1123"/>
    <x v="2"/>
    <x v="2"/>
    <x v="0"/>
    <s v="чел."/>
    <s v="нед."/>
    <s v="Банк"/>
    <m/>
    <x v="0"/>
    <m/>
  </r>
  <r>
    <x v="23"/>
    <n v="1037"/>
    <x v="2"/>
    <x v="2"/>
    <x v="0"/>
    <s v="чел."/>
    <s v="нед."/>
    <s v="Банк"/>
    <m/>
    <x v="0"/>
    <m/>
  </r>
  <r>
    <x v="24"/>
    <n v="872"/>
    <x v="2"/>
    <x v="2"/>
    <x v="0"/>
    <s v="чел."/>
    <s v="нед."/>
    <s v="Банк"/>
    <m/>
    <x v="0"/>
    <m/>
  </r>
  <r>
    <x v="25"/>
    <n v="790"/>
    <x v="2"/>
    <x v="2"/>
    <x v="0"/>
    <s v="чел."/>
    <s v="нед."/>
    <s v="Банк"/>
    <m/>
    <x v="0"/>
    <m/>
  </r>
  <r>
    <x v="26"/>
    <n v="943"/>
    <x v="2"/>
    <x v="2"/>
    <x v="0"/>
    <s v="чел."/>
    <s v="нед."/>
    <s v="Банк"/>
    <m/>
    <x v="0"/>
    <m/>
  </r>
  <r>
    <x v="27"/>
    <n v="993"/>
    <x v="2"/>
    <x v="2"/>
    <x v="0"/>
    <s v="чел."/>
    <s v="нед."/>
    <s v="Банк"/>
    <m/>
    <x v="0"/>
    <m/>
  </r>
  <r>
    <x v="28"/>
    <n v="955"/>
    <x v="2"/>
    <x v="2"/>
    <x v="0"/>
    <s v="чел."/>
    <s v="нед."/>
    <s v="Банк"/>
    <m/>
    <x v="0"/>
    <m/>
  </r>
  <r>
    <x v="29"/>
    <n v="728"/>
    <x v="2"/>
    <x v="2"/>
    <x v="0"/>
    <s v="чел."/>
    <s v="нед."/>
    <s v="Банк"/>
    <m/>
    <x v="0"/>
    <m/>
  </r>
  <r>
    <x v="30"/>
    <n v="893"/>
    <x v="2"/>
    <x v="2"/>
    <x v="0"/>
    <s v="чел."/>
    <s v="нед."/>
    <s v="Банк"/>
    <m/>
    <x v="0"/>
    <m/>
  </r>
  <r>
    <x v="0"/>
    <n v="2.2157953281423803"/>
    <x v="3"/>
    <x v="3"/>
    <x v="0"/>
    <s v="повтор."/>
    <s v="нед."/>
    <s v="Банк"/>
    <m/>
    <x v="0"/>
    <m/>
  </r>
  <r>
    <x v="1"/>
    <n v="2.360790774299835"/>
    <x v="3"/>
    <x v="3"/>
    <x v="0"/>
    <s v="повтор."/>
    <s v="нед."/>
    <s v="Банк"/>
    <m/>
    <x v="0"/>
    <m/>
  </r>
  <r>
    <x v="2"/>
    <n v="2.5322230267921797"/>
    <x v="3"/>
    <x v="3"/>
    <x v="0"/>
    <s v="повтор."/>
    <s v="нед."/>
    <s v="Банк"/>
    <m/>
    <x v="0"/>
    <m/>
  </r>
  <r>
    <x v="3"/>
    <n v="2.6192821956368753"/>
    <x v="3"/>
    <x v="3"/>
    <x v="0"/>
    <s v="повтор."/>
    <s v="нед."/>
    <s v="Банк"/>
    <m/>
    <x v="0"/>
    <m/>
  </r>
  <r>
    <x v="4"/>
    <n v="2.732147477360931"/>
    <x v="3"/>
    <x v="3"/>
    <x v="0"/>
    <s v="повтор."/>
    <s v="нед."/>
    <s v="Банк"/>
    <m/>
    <x v="0"/>
    <m/>
  </r>
  <r>
    <x v="5"/>
    <n v="2.7244967880085653"/>
    <x v="3"/>
    <x v="3"/>
    <x v="0"/>
    <s v="повтор."/>
    <s v="нед."/>
    <s v="Банк"/>
    <m/>
    <x v="0"/>
    <m/>
  </r>
  <r>
    <x v="6"/>
    <n v="2.719152542372881"/>
    <x v="3"/>
    <x v="3"/>
    <x v="0"/>
    <s v="повтор."/>
    <s v="нед."/>
    <s v="Банк"/>
    <m/>
    <x v="0"/>
    <m/>
  </r>
  <r>
    <x v="7"/>
    <n v="2.9485117691723617"/>
    <x v="3"/>
    <x v="3"/>
    <x v="0"/>
    <s v="повтор."/>
    <s v="нед."/>
    <s v="Банк"/>
    <m/>
    <x v="0"/>
    <m/>
  </r>
  <r>
    <x v="8"/>
    <n v="2.948323983169705"/>
    <x v="3"/>
    <x v="3"/>
    <x v="0"/>
    <s v="повтор."/>
    <s v="нед."/>
    <s v="Банк"/>
    <m/>
    <x v="0"/>
    <m/>
  </r>
  <r>
    <x v="9"/>
    <n v="3.209737827715356"/>
    <x v="3"/>
    <x v="3"/>
    <x v="0"/>
    <s v="повтор."/>
    <s v="нед."/>
    <s v="Банк"/>
    <m/>
    <x v="0"/>
    <m/>
  </r>
  <r>
    <x v="10"/>
    <n v="2.4809130645944637"/>
    <x v="3"/>
    <x v="3"/>
    <x v="0"/>
    <s v="повтор."/>
    <s v="нед."/>
    <s v="Банк"/>
    <m/>
    <x v="0"/>
    <m/>
  </r>
  <r>
    <x v="11"/>
    <n v="3.222997601918465"/>
    <x v="3"/>
    <x v="3"/>
    <x v="0"/>
    <s v="повтор."/>
    <s v="нед."/>
    <s v="Банк"/>
    <m/>
    <x v="0"/>
    <m/>
  </r>
  <r>
    <x v="12"/>
    <n v="3.189367710251688"/>
    <x v="3"/>
    <x v="3"/>
    <x v="0"/>
    <s v="повтор."/>
    <s v="нед."/>
    <s v="Банк"/>
    <m/>
    <x v="0"/>
    <m/>
  </r>
  <r>
    <x v="13"/>
    <n v="3.449264705882353"/>
    <x v="3"/>
    <x v="3"/>
    <x v="0"/>
    <s v="повтор."/>
    <s v="нед."/>
    <s v="Банк"/>
    <m/>
    <x v="0"/>
    <m/>
  </r>
  <r>
    <x v="14"/>
    <n v="3.247200689061154"/>
    <x v="3"/>
    <x v="3"/>
    <x v="0"/>
    <s v="повтор."/>
    <s v="нед."/>
    <s v="Банк"/>
    <m/>
    <x v="0"/>
    <m/>
  </r>
  <r>
    <x v="15"/>
    <n v="2.9541432019308127"/>
    <x v="3"/>
    <x v="3"/>
    <x v="0"/>
    <s v="повтор."/>
    <s v="нед."/>
    <s v="Банк"/>
    <m/>
    <x v="0"/>
    <m/>
  </r>
  <r>
    <x v="16"/>
    <n v="3.001651527663088"/>
    <x v="3"/>
    <x v="3"/>
    <x v="0"/>
    <s v="повтор."/>
    <s v="нед."/>
    <s v="Банк"/>
    <m/>
    <x v="0"/>
    <m/>
  </r>
  <r>
    <x v="17"/>
    <n v="3.319277108433735"/>
    <x v="3"/>
    <x v="3"/>
    <x v="0"/>
    <s v="повтор."/>
    <s v="нед."/>
    <s v="Банк"/>
    <m/>
    <x v="0"/>
    <m/>
  </r>
  <r>
    <x v="18"/>
    <n v="2.783469945355191"/>
    <x v="3"/>
    <x v="3"/>
    <x v="0"/>
    <s v="повтор."/>
    <s v="нед."/>
    <s v="Банк"/>
    <m/>
    <x v="0"/>
    <m/>
  </r>
  <r>
    <x v="19"/>
    <n v="2.831046931407942"/>
    <x v="3"/>
    <x v="3"/>
    <x v="0"/>
    <s v="повтор."/>
    <s v="нед."/>
    <s v="Банк"/>
    <m/>
    <x v="0"/>
    <m/>
  </r>
  <r>
    <x v="20"/>
    <n v="3.0996835443037973"/>
    <x v="3"/>
    <x v="3"/>
    <x v="0"/>
    <s v="повтор."/>
    <s v="нед."/>
    <s v="Банк"/>
    <m/>
    <x v="0"/>
    <m/>
  </r>
  <r>
    <x v="21"/>
    <n v="3.668823058446757"/>
    <x v="3"/>
    <x v="3"/>
    <x v="0"/>
    <s v="повтор."/>
    <s v="нед."/>
    <s v="Банк"/>
    <m/>
    <x v="0"/>
    <m/>
  </r>
  <r>
    <x v="22"/>
    <n v="3.883167752442997"/>
    <x v="3"/>
    <x v="3"/>
    <x v="0"/>
    <s v="повтор."/>
    <s v="нед."/>
    <s v="Банк"/>
    <m/>
    <x v="0"/>
    <m/>
  </r>
  <r>
    <x v="23"/>
    <n v="3.9102680965147454"/>
    <x v="3"/>
    <x v="3"/>
    <x v="0"/>
    <s v="повтор."/>
    <s v="нед."/>
    <s v="Банк"/>
    <m/>
    <x v="0"/>
    <m/>
  </r>
  <r>
    <x v="24"/>
    <n v="3.9313346228239845"/>
    <x v="3"/>
    <x v="3"/>
    <x v="0"/>
    <s v="повтор."/>
    <s v="нед."/>
    <s v="Банк"/>
    <m/>
    <x v="0"/>
    <m/>
  </r>
  <r>
    <x v="25"/>
    <n v="4.003108808290156"/>
    <x v="3"/>
    <x v="3"/>
    <x v="0"/>
    <s v="повтор."/>
    <s v="нед."/>
    <s v="Банк"/>
    <m/>
    <x v="0"/>
    <m/>
  </r>
  <r>
    <x v="26"/>
    <n v="4.247535596933187"/>
    <x v="3"/>
    <x v="3"/>
    <x v="0"/>
    <s v="повтор."/>
    <s v="нед."/>
    <s v="Банк"/>
    <m/>
    <x v="0"/>
    <m/>
  </r>
  <r>
    <x v="27"/>
    <n v="3.732408325074331"/>
    <x v="3"/>
    <x v="3"/>
    <x v="0"/>
    <s v="повтор."/>
    <s v="нед."/>
    <s v="Банк"/>
    <m/>
    <x v="0"/>
    <m/>
  </r>
  <r>
    <x v="28"/>
    <n v="4.277475516866159"/>
    <x v="3"/>
    <x v="3"/>
    <x v="0"/>
    <s v="повтор."/>
    <s v="нед."/>
    <s v="Банк"/>
    <m/>
    <x v="0"/>
    <m/>
  </r>
  <r>
    <x v="29"/>
    <n v="4.233970753655793"/>
    <x v="3"/>
    <x v="3"/>
    <x v="0"/>
    <s v="повтор."/>
    <s v="нед."/>
    <s v="Банк"/>
    <m/>
    <x v="0"/>
    <m/>
  </r>
  <r>
    <x v="30"/>
    <n v="3.6800748362956033"/>
    <x v="3"/>
    <x v="3"/>
    <x v="0"/>
    <s v="повтор."/>
    <s v="нед."/>
    <s v="Банк"/>
    <m/>
    <x v="0"/>
    <m/>
  </r>
  <r>
    <x v="0"/>
    <n v="3.138214017355944"/>
    <x v="4"/>
    <x v="4"/>
    <x v="0"/>
    <s v="%"/>
    <s v="нед."/>
    <s v="Банк"/>
    <m/>
    <x v="0"/>
    <m/>
  </r>
  <r>
    <x v="1"/>
    <n v="3.27562276280225"/>
    <x v="4"/>
    <x v="4"/>
    <x v="0"/>
    <s v="%"/>
    <s v="нед."/>
    <s v="Банк"/>
    <m/>
    <x v="0"/>
    <m/>
  </r>
  <r>
    <x v="2"/>
    <n v="2.7303653741366363"/>
    <x v="4"/>
    <x v="4"/>
    <x v="0"/>
    <s v="%"/>
    <s v="нед."/>
    <s v="Банк"/>
    <m/>
    <x v="0"/>
    <m/>
  </r>
  <r>
    <x v="3"/>
    <n v="2.7194532132410436"/>
    <x v="4"/>
    <x v="4"/>
    <x v="0"/>
    <s v="%"/>
    <s v="нед."/>
    <s v="Банк"/>
    <m/>
    <x v="0"/>
    <m/>
  </r>
  <r>
    <x v="4"/>
    <n v="3.289206959158132"/>
    <x v="4"/>
    <x v="4"/>
    <x v="0"/>
    <s v="%"/>
    <s v="нед."/>
    <s v="Банк"/>
    <m/>
    <x v="0"/>
    <m/>
  </r>
  <r>
    <x v="5"/>
    <n v="2.981691368788143"/>
    <x v="4"/>
    <x v="4"/>
    <x v="0"/>
    <s v="%"/>
    <s v="нед."/>
    <s v="Банк"/>
    <m/>
    <x v="0"/>
    <m/>
  </r>
  <r>
    <x v="6"/>
    <n v="2.840041637751561"/>
    <x v="4"/>
    <x v="4"/>
    <x v="0"/>
    <s v="%"/>
    <s v="нед."/>
    <s v="Банк"/>
    <m/>
    <x v="0"/>
    <m/>
  </r>
  <r>
    <x v="7"/>
    <n v="2.773368683609217"/>
    <x v="4"/>
    <x v="4"/>
    <x v="0"/>
    <s v="%"/>
    <s v="нед."/>
    <s v="Банк"/>
    <m/>
    <x v="0"/>
    <m/>
  </r>
  <r>
    <x v="8"/>
    <n v="2.9374268699463855"/>
    <x v="4"/>
    <x v="4"/>
    <x v="0"/>
    <s v="%"/>
    <s v="нед."/>
    <s v="Банк"/>
    <m/>
    <x v="0"/>
    <m/>
  </r>
  <r>
    <x v="9"/>
    <n v="3.132497220542628"/>
    <x v="4"/>
    <x v="4"/>
    <x v="0"/>
    <s v="%"/>
    <s v="нед."/>
    <s v="Банк"/>
    <m/>
    <x v="0"/>
    <m/>
  </r>
  <r>
    <x v="10"/>
    <n v="3.4090909090909087"/>
    <x v="4"/>
    <x v="4"/>
    <x v="0"/>
    <s v="%"/>
    <s v="нед."/>
    <s v="Банк"/>
    <m/>
    <x v="0"/>
    <m/>
  </r>
  <r>
    <x v="11"/>
    <n v="2.9072490923995784"/>
    <x v="4"/>
    <x v="4"/>
    <x v="0"/>
    <s v="%"/>
    <s v="нед."/>
    <s v="Банк"/>
    <m/>
    <x v="0"/>
    <m/>
  </r>
  <r>
    <x v="12"/>
    <n v="2.837806095484174"/>
    <x v="4"/>
    <x v="4"/>
    <x v="0"/>
    <s v="%"/>
    <s v="нед."/>
    <s v="Банк"/>
    <m/>
    <x v="0"/>
    <m/>
  </r>
  <r>
    <x v="13"/>
    <n v="2.5038417617120867"/>
    <x v="4"/>
    <x v="4"/>
    <x v="0"/>
    <s v="%"/>
    <s v="нед."/>
    <s v="Банк"/>
    <m/>
    <x v="0"/>
    <m/>
  </r>
  <r>
    <x v="14"/>
    <n v="2.2068492367503287"/>
    <x v="4"/>
    <x v="4"/>
    <x v="0"/>
    <s v="%"/>
    <s v="нед."/>
    <s v="Банк"/>
    <m/>
    <x v="0"/>
    <m/>
  </r>
  <r>
    <x v="15"/>
    <n v="2.131852382658545"/>
    <x v="4"/>
    <x v="4"/>
    <x v="0"/>
    <s v="%"/>
    <s v="нед."/>
    <s v="Банк"/>
    <m/>
    <x v="0"/>
    <m/>
  </r>
  <r>
    <x v="16"/>
    <n v="4.0936533647474596"/>
    <x v="4"/>
    <x v="4"/>
    <x v="0"/>
    <s v="%"/>
    <s v="нед."/>
    <s v="Банк"/>
    <m/>
    <x v="0"/>
    <m/>
  </r>
  <r>
    <x v="17"/>
    <n v="4.189703378250542"/>
    <x v="4"/>
    <x v="4"/>
    <x v="0"/>
    <s v="%"/>
    <s v="нед."/>
    <s v="Банк"/>
    <m/>
    <x v="0"/>
    <m/>
  </r>
  <r>
    <x v="18"/>
    <n v="4.361491333955861"/>
    <x v="4"/>
    <x v="4"/>
    <x v="0"/>
    <s v="%"/>
    <s v="нед."/>
    <s v="Банк"/>
    <m/>
    <x v="0"/>
    <m/>
  </r>
  <r>
    <x v="19"/>
    <n v="3.892506765899865"/>
    <x v="4"/>
    <x v="4"/>
    <x v="0"/>
    <s v="%"/>
    <s v="нед."/>
    <s v="Банк"/>
    <m/>
    <x v="0"/>
    <m/>
  </r>
  <r>
    <x v="20"/>
    <n v="3.5422054521558484"/>
    <x v="4"/>
    <x v="4"/>
    <x v="0"/>
    <s v="%"/>
    <s v="нед."/>
    <s v="Банк"/>
    <m/>
    <x v="0"/>
    <m/>
  </r>
  <r>
    <x v="21"/>
    <n v="3.297026788342655"/>
    <x v="4"/>
    <x v="4"/>
    <x v="0"/>
    <s v="%"/>
    <s v="нед."/>
    <s v="Банк"/>
    <m/>
    <x v="0"/>
    <m/>
  </r>
  <r>
    <x v="22"/>
    <n v="3.2176443301142834"/>
    <x v="4"/>
    <x v="4"/>
    <x v="0"/>
    <s v="%"/>
    <s v="нед."/>
    <s v="Банк"/>
    <m/>
    <x v="0"/>
    <m/>
  </r>
  <r>
    <x v="23"/>
    <n v="2.8854518065898627"/>
    <x v="4"/>
    <x v="4"/>
    <x v="0"/>
    <s v="%"/>
    <s v="нед."/>
    <s v="Банк"/>
    <m/>
    <x v="0"/>
    <m/>
  </r>
  <r>
    <x v="24"/>
    <n v="2.7814288742845026"/>
    <x v="4"/>
    <x v="4"/>
    <x v="0"/>
    <s v="%"/>
    <s v="нед."/>
    <s v="Банк"/>
    <m/>
    <x v="0"/>
    <m/>
  </r>
  <r>
    <x v="25"/>
    <n v="2.7144914034047596"/>
    <x v="4"/>
    <x v="4"/>
    <x v="0"/>
    <s v="%"/>
    <s v="нед."/>
    <s v="Банк"/>
    <m/>
    <x v="0"/>
    <m/>
  </r>
  <r>
    <x v="26"/>
    <n v="2.5699490698318663"/>
    <x v="4"/>
    <x v="4"/>
    <x v="0"/>
    <s v="%"/>
    <s v="нед."/>
    <s v="Банк"/>
    <m/>
    <x v="0"/>
    <m/>
  </r>
  <r>
    <x v="27"/>
    <n v="2.897968674036653"/>
    <x v="4"/>
    <x v="4"/>
    <x v="0"/>
    <s v="%"/>
    <s v="нед."/>
    <s v="Банк"/>
    <m/>
    <x v="0"/>
    <m/>
  </r>
  <r>
    <x v="28"/>
    <n v="2.687156232942856"/>
    <x v="4"/>
    <x v="4"/>
    <x v="0"/>
    <s v="%"/>
    <s v="нед."/>
    <s v="Банк"/>
    <m/>
    <x v="0"/>
    <m/>
  </r>
  <r>
    <x v="29"/>
    <n v="2.534100731558198"/>
    <x v="4"/>
    <x v="4"/>
    <x v="0"/>
    <s v="%"/>
    <s v="нед."/>
    <s v="Банк"/>
    <m/>
    <x v="0"/>
    <m/>
  </r>
  <r>
    <x v="30"/>
    <n v="2.975447797491911"/>
    <x v="4"/>
    <x v="4"/>
    <x v="0"/>
    <s v="%"/>
    <s v="нед."/>
    <s v="Банк"/>
    <m/>
    <x v="0"/>
    <m/>
  </r>
  <r>
    <x v="0"/>
    <n v="20.52401746724891"/>
    <x v="5"/>
    <x v="5"/>
    <x v="1"/>
    <s v="%"/>
    <s v="нед."/>
    <s v="Банк"/>
    <m/>
    <x v="1"/>
    <m/>
  </r>
  <r>
    <x v="1"/>
    <n v="22.194513715710723"/>
    <x v="5"/>
    <x v="5"/>
    <x v="1"/>
    <s v="%"/>
    <s v="нед."/>
    <s v="Банк"/>
    <m/>
    <x v="1"/>
    <m/>
  </r>
  <r>
    <x v="2"/>
    <n v="22.86647611269906"/>
    <x v="5"/>
    <x v="5"/>
    <x v="1"/>
    <s v="%"/>
    <s v="нед."/>
    <s v="Банк"/>
    <m/>
    <x v="1"/>
    <m/>
  </r>
  <r>
    <x v="3"/>
    <n v="19.373454245671887"/>
    <x v="5"/>
    <x v="5"/>
    <x v="1"/>
    <s v="%"/>
    <s v="нед."/>
    <s v="Банк"/>
    <m/>
    <x v="1"/>
    <m/>
  </r>
  <r>
    <x v="4"/>
    <n v="20.268620268620268"/>
    <x v="5"/>
    <x v="5"/>
    <x v="1"/>
    <s v="%"/>
    <s v="нед."/>
    <s v="Банк"/>
    <m/>
    <x v="1"/>
    <m/>
  </r>
  <r>
    <x v="5"/>
    <n v="20.718232044198896"/>
    <x v="5"/>
    <x v="5"/>
    <x v="1"/>
    <s v="%"/>
    <s v="нед."/>
    <s v="Банк"/>
    <m/>
    <x v="1"/>
    <m/>
  </r>
  <r>
    <x v="6"/>
    <n v="18.128654970760234"/>
    <x v="5"/>
    <x v="5"/>
    <x v="1"/>
    <s v="%"/>
    <s v="нед."/>
    <s v="Банк"/>
    <m/>
    <x v="1"/>
    <m/>
  </r>
  <r>
    <x v="7"/>
    <n v="19.519752130131682"/>
    <x v="5"/>
    <x v="5"/>
    <x v="1"/>
    <s v="%"/>
    <s v="нед."/>
    <s v="Банк"/>
    <m/>
    <x v="1"/>
    <m/>
  </r>
  <r>
    <x v="8"/>
    <n v="19.357462383082556"/>
    <x v="5"/>
    <x v="5"/>
    <x v="1"/>
    <s v="%"/>
    <s v="нед."/>
    <s v="Банк"/>
    <m/>
    <x v="1"/>
    <m/>
  </r>
  <r>
    <x v="9"/>
    <n v="20.06565449322938"/>
    <x v="5"/>
    <x v="5"/>
    <x v="1"/>
    <s v="%"/>
    <s v="нед."/>
    <s v="Банк"/>
    <m/>
    <x v="1"/>
    <m/>
  </r>
  <r>
    <x v="10"/>
    <n v="20.471333098839253"/>
    <x v="5"/>
    <x v="5"/>
    <x v="1"/>
    <s v="%"/>
    <s v="нед."/>
    <s v="Банк"/>
    <m/>
    <x v="1"/>
    <m/>
  </r>
  <r>
    <x v="11"/>
    <n v="21.08057464084947"/>
    <x v="5"/>
    <x v="5"/>
    <x v="1"/>
    <s v="%"/>
    <s v="нед."/>
    <s v="Банк"/>
    <m/>
    <x v="1"/>
    <m/>
  </r>
  <r>
    <x v="12"/>
    <n v="20.75530586766542"/>
    <x v="5"/>
    <x v="5"/>
    <x v="1"/>
    <s v="%"/>
    <s v="нед."/>
    <s v="Банк"/>
    <m/>
    <x v="1"/>
    <m/>
  </r>
  <r>
    <x v="13"/>
    <n v="19.808108944599194"/>
    <x v="5"/>
    <x v="5"/>
    <x v="1"/>
    <s v="%"/>
    <s v="нед."/>
    <s v="Банк"/>
    <m/>
    <x v="1"/>
    <m/>
  </r>
  <r>
    <x v="14"/>
    <n v="20.744356314826113"/>
    <x v="5"/>
    <x v="5"/>
    <x v="1"/>
    <s v="%"/>
    <s v="нед."/>
    <s v="Банк"/>
    <m/>
    <x v="1"/>
    <m/>
  </r>
  <r>
    <x v="15"/>
    <n v="22.07298530157121"/>
    <x v="5"/>
    <x v="5"/>
    <x v="1"/>
    <s v="%"/>
    <s v="нед."/>
    <s v="Банк"/>
    <m/>
    <x v="1"/>
    <m/>
  </r>
  <r>
    <x v="16"/>
    <n v="25.235032162295894"/>
    <x v="5"/>
    <x v="5"/>
    <x v="1"/>
    <s v="%"/>
    <s v="нед."/>
    <s v="Банк"/>
    <m/>
    <x v="1"/>
    <m/>
  </r>
  <r>
    <x v="17"/>
    <n v="24.383983572895275"/>
    <x v="5"/>
    <x v="5"/>
    <x v="1"/>
    <s v="%"/>
    <s v="нед."/>
    <s v="Банк"/>
    <m/>
    <x v="1"/>
    <m/>
  </r>
  <r>
    <x v="18"/>
    <n v="25.442604226156483"/>
    <x v="5"/>
    <x v="5"/>
    <x v="1"/>
    <s v="%"/>
    <s v="нед."/>
    <s v="Банк"/>
    <m/>
    <x v="1"/>
    <m/>
  </r>
  <r>
    <x v="19"/>
    <n v="23.200428150923198"/>
    <x v="5"/>
    <x v="5"/>
    <x v="1"/>
    <s v="%"/>
    <s v="нед."/>
    <s v="Банк"/>
    <m/>
    <x v="1"/>
    <m/>
  </r>
  <r>
    <x v="20"/>
    <n v="21.669980119284293"/>
    <x v="5"/>
    <x v="5"/>
    <x v="1"/>
    <s v="%"/>
    <s v="нед."/>
    <s v="Банк"/>
    <m/>
    <x v="1"/>
    <m/>
  </r>
  <r>
    <x v="21"/>
    <n v="17.8168130489335"/>
    <x v="5"/>
    <x v="5"/>
    <x v="1"/>
    <s v="%"/>
    <s v="нед."/>
    <s v="Банк"/>
    <m/>
    <x v="1"/>
    <m/>
  </r>
  <r>
    <x v="22"/>
    <n v="16.821724918280108"/>
    <x v="5"/>
    <x v="5"/>
    <x v="1"/>
    <s v="%"/>
    <s v="нед."/>
    <s v="Банк"/>
    <m/>
    <x v="1"/>
    <m/>
  </r>
  <r>
    <x v="23"/>
    <n v="16.290726817042607"/>
    <x v="5"/>
    <x v="5"/>
    <x v="1"/>
    <s v="%"/>
    <s v="нед."/>
    <s v="Банк"/>
    <m/>
    <x v="1"/>
    <m/>
  </r>
  <r>
    <x v="24"/>
    <n v="15.588578088578089"/>
    <x v="5"/>
    <x v="5"/>
    <x v="1"/>
    <s v="%"/>
    <s v="нед."/>
    <s v="Банк"/>
    <m/>
    <x v="1"/>
    <m/>
  </r>
  <r>
    <x v="25"/>
    <n v="16.594332397242788"/>
    <x v="5"/>
    <x v="5"/>
    <x v="1"/>
    <s v="%"/>
    <s v="нед."/>
    <s v="Банк"/>
    <m/>
    <x v="1"/>
    <m/>
  </r>
  <r>
    <x v="26"/>
    <n v="15.408986175115208"/>
    <x v="5"/>
    <x v="5"/>
    <x v="1"/>
    <s v="%"/>
    <s v="нед."/>
    <s v="Банк"/>
    <m/>
    <x v="1"/>
    <m/>
  </r>
  <r>
    <x v="27"/>
    <n v="18.10850439882698"/>
    <x v="5"/>
    <x v="5"/>
    <x v="1"/>
    <s v="%"/>
    <s v="нед."/>
    <s v="Банк"/>
    <m/>
    <x v="1"/>
    <m/>
  </r>
  <r>
    <x v="28"/>
    <n v="16.980670418399804"/>
    <x v="5"/>
    <x v="5"/>
    <x v="1"/>
    <s v="%"/>
    <s v="нед."/>
    <s v="Банк"/>
    <m/>
    <x v="1"/>
    <m/>
  </r>
  <r>
    <x v="29"/>
    <n v="16.165598817151306"/>
    <x v="5"/>
    <x v="5"/>
    <x v="1"/>
    <s v="%"/>
    <s v="нед."/>
    <s v="Банк"/>
    <m/>
    <x v="1"/>
    <m/>
  </r>
  <r>
    <x v="30"/>
    <n v="15.4840344652813"/>
    <x v="5"/>
    <x v="5"/>
    <x v="1"/>
    <s v="%"/>
    <s v="нед."/>
    <s v="Банк"/>
    <m/>
    <x v="1"/>
    <m/>
  </r>
  <r>
    <x v="0"/>
    <n v="223"/>
    <x v="6"/>
    <x v="6"/>
    <x v="1"/>
    <s v="чел."/>
    <s v="нед."/>
    <s v="Банк"/>
    <m/>
    <x v="1"/>
    <m/>
  </r>
  <r>
    <x v="1"/>
    <n v="279"/>
    <x v="6"/>
    <x v="6"/>
    <x v="1"/>
    <s v="чел."/>
    <s v="нед."/>
    <s v="Банк"/>
    <m/>
    <x v="1"/>
    <m/>
  </r>
  <r>
    <x v="2"/>
    <n v="183"/>
    <x v="6"/>
    <x v="6"/>
    <x v="1"/>
    <s v="чел."/>
    <s v="нед."/>
    <s v="Банк"/>
    <m/>
    <x v="1"/>
    <m/>
  </r>
  <r>
    <x v="3"/>
    <n v="324"/>
    <x v="6"/>
    <x v="6"/>
    <x v="1"/>
    <s v="чел."/>
    <s v="нед."/>
    <s v="Банк"/>
    <m/>
    <x v="1"/>
    <m/>
  </r>
  <r>
    <x v="4"/>
    <n v="236"/>
    <x v="6"/>
    <x v="6"/>
    <x v="1"/>
    <s v="чел."/>
    <s v="нед."/>
    <s v="Банк"/>
    <m/>
    <x v="1"/>
    <m/>
  </r>
  <r>
    <x v="5"/>
    <n v="295"/>
    <x v="6"/>
    <x v="6"/>
    <x v="1"/>
    <s v="чел."/>
    <s v="нед."/>
    <s v="Банк"/>
    <m/>
    <x v="1"/>
    <m/>
  </r>
  <r>
    <x v="6"/>
    <n v="172"/>
    <x v="6"/>
    <x v="6"/>
    <x v="1"/>
    <s v="чел."/>
    <s v="нед."/>
    <s v="Банк"/>
    <m/>
    <x v="1"/>
    <m/>
  </r>
  <r>
    <x v="7"/>
    <n v="245"/>
    <x v="6"/>
    <x v="6"/>
    <x v="1"/>
    <s v="чел."/>
    <s v="нед."/>
    <s v="Банк"/>
    <m/>
    <x v="1"/>
    <m/>
  </r>
  <r>
    <x v="8"/>
    <n v="229"/>
    <x v="6"/>
    <x v="6"/>
    <x v="1"/>
    <s v="чел."/>
    <s v="нед."/>
    <s v="Банк"/>
    <m/>
    <x v="1"/>
    <m/>
  </r>
  <r>
    <x v="9"/>
    <n v="293"/>
    <x v="6"/>
    <x v="6"/>
    <x v="1"/>
    <s v="чел."/>
    <s v="нед."/>
    <s v="Банк"/>
    <m/>
    <x v="1"/>
    <m/>
  </r>
  <r>
    <x v="10"/>
    <n v="176"/>
    <x v="6"/>
    <x v="6"/>
    <x v="1"/>
    <s v="чел."/>
    <s v="нед."/>
    <s v="Банк"/>
    <m/>
    <x v="1"/>
    <m/>
  </r>
  <r>
    <x v="11"/>
    <n v="258"/>
    <x v="6"/>
    <x v="6"/>
    <x v="1"/>
    <s v="чел."/>
    <s v="нед."/>
    <s v="Банк"/>
    <m/>
    <x v="1"/>
    <m/>
  </r>
  <r>
    <x v="12"/>
    <n v="257"/>
    <x v="6"/>
    <x v="6"/>
    <x v="1"/>
    <s v="чел."/>
    <s v="нед."/>
    <s v="Банк"/>
    <m/>
    <x v="1"/>
    <m/>
  </r>
  <r>
    <x v="13"/>
    <n v="296"/>
    <x v="6"/>
    <x v="6"/>
    <x v="1"/>
    <s v="чел."/>
    <s v="нед."/>
    <s v="Банк"/>
    <m/>
    <x v="1"/>
    <m/>
  </r>
  <r>
    <x v="14"/>
    <n v="261"/>
    <x v="6"/>
    <x v="6"/>
    <x v="1"/>
    <s v="чел."/>
    <s v="нед."/>
    <s v="Банк"/>
    <m/>
    <x v="1"/>
    <m/>
  </r>
  <r>
    <x v="15"/>
    <n v="560"/>
    <x v="6"/>
    <x v="6"/>
    <x v="1"/>
    <s v="чел."/>
    <s v="нед."/>
    <s v="Банк"/>
    <m/>
    <x v="1"/>
    <m/>
  </r>
  <r>
    <x v="16"/>
    <n v="879"/>
    <x v="6"/>
    <x v="6"/>
    <x v="1"/>
    <s v="чел."/>
    <s v="нед."/>
    <s v="Банк"/>
    <m/>
    <x v="1"/>
    <m/>
  </r>
  <r>
    <x v="17"/>
    <n v="897"/>
    <x v="6"/>
    <x v="6"/>
    <x v="1"/>
    <s v="чел."/>
    <s v="нед."/>
    <s v="Банк"/>
    <m/>
    <x v="1"/>
    <m/>
  </r>
  <r>
    <x v="18"/>
    <n v="738"/>
    <x v="6"/>
    <x v="6"/>
    <x v="1"/>
    <s v="чел."/>
    <s v="нед."/>
    <s v="Банк"/>
    <m/>
    <x v="1"/>
    <m/>
  </r>
  <r>
    <x v="19"/>
    <n v="598"/>
    <x v="6"/>
    <x v="6"/>
    <x v="1"/>
    <s v="чел."/>
    <s v="нед."/>
    <s v="Банк"/>
    <m/>
    <x v="1"/>
    <m/>
  </r>
  <r>
    <x v="20"/>
    <n v="601"/>
    <x v="6"/>
    <x v="6"/>
    <x v="1"/>
    <s v="чел."/>
    <s v="нед."/>
    <s v="Банк"/>
    <m/>
    <x v="1"/>
    <m/>
  </r>
  <r>
    <x v="21"/>
    <n v="430"/>
    <x v="6"/>
    <x v="6"/>
    <x v="1"/>
    <s v="чел."/>
    <s v="нед."/>
    <s v="Банк"/>
    <m/>
    <x v="1"/>
    <m/>
  </r>
  <r>
    <x v="22"/>
    <n v="560"/>
    <x v="6"/>
    <x v="6"/>
    <x v="1"/>
    <s v="чел."/>
    <s v="нед."/>
    <s v="Банк"/>
    <m/>
    <x v="1"/>
    <m/>
  </r>
  <r>
    <x v="23"/>
    <n v="454"/>
    <x v="6"/>
    <x v="6"/>
    <x v="1"/>
    <s v="чел."/>
    <s v="нед."/>
    <s v="Банк"/>
    <m/>
    <x v="1"/>
    <m/>
  </r>
  <r>
    <x v="24"/>
    <n v="314"/>
    <x v="6"/>
    <x v="6"/>
    <x v="1"/>
    <s v="чел."/>
    <s v="нед."/>
    <s v="Банк"/>
    <m/>
    <x v="1"/>
    <m/>
  </r>
  <r>
    <x v="25"/>
    <n v="336"/>
    <x v="6"/>
    <x v="6"/>
    <x v="1"/>
    <s v="чел."/>
    <s v="нед."/>
    <s v="Банк"/>
    <m/>
    <x v="1"/>
    <m/>
  </r>
  <r>
    <x v="26"/>
    <n v="419"/>
    <x v="6"/>
    <x v="6"/>
    <x v="1"/>
    <s v="чел."/>
    <s v="нед."/>
    <s v="Банк"/>
    <m/>
    <x v="1"/>
    <m/>
  </r>
  <r>
    <x v="27"/>
    <n v="499"/>
    <x v="6"/>
    <x v="6"/>
    <x v="1"/>
    <s v="чел."/>
    <s v="нед."/>
    <s v="Банк"/>
    <m/>
    <x v="1"/>
    <m/>
  </r>
  <r>
    <x v="28"/>
    <n v="503"/>
    <x v="6"/>
    <x v="6"/>
    <x v="1"/>
    <s v="чел."/>
    <s v="нед."/>
    <s v="Банк"/>
    <m/>
    <x v="1"/>
    <m/>
  </r>
  <r>
    <x v="29"/>
    <n v="342"/>
    <x v="6"/>
    <x v="6"/>
    <x v="1"/>
    <s v="чел."/>
    <s v="нед."/>
    <s v="Банк"/>
    <m/>
    <x v="1"/>
    <m/>
  </r>
  <r>
    <x v="30"/>
    <n v="378"/>
    <x v="6"/>
    <x v="6"/>
    <x v="1"/>
    <s v="чел."/>
    <s v="нед."/>
    <s v="Банк"/>
    <m/>
    <x v="1"/>
    <m/>
  </r>
  <r>
    <x v="0"/>
    <n v="174"/>
    <x v="7"/>
    <x v="7"/>
    <x v="1"/>
    <s v="шт."/>
    <s v="нед."/>
    <s v="Банк"/>
    <m/>
    <x v="1"/>
    <m/>
  </r>
  <r>
    <x v="1"/>
    <n v="215"/>
    <x v="7"/>
    <x v="7"/>
    <x v="1"/>
    <s v="шт."/>
    <s v="нед."/>
    <s v="Банк"/>
    <m/>
    <x v="1"/>
    <m/>
  </r>
  <r>
    <x v="2"/>
    <n v="143"/>
    <x v="7"/>
    <x v="7"/>
    <x v="1"/>
    <s v="шт."/>
    <s v="нед."/>
    <s v="Банк"/>
    <m/>
    <x v="1"/>
    <m/>
  </r>
  <r>
    <x v="3"/>
    <n v="252"/>
    <x v="7"/>
    <x v="7"/>
    <x v="1"/>
    <s v="шт."/>
    <s v="нед."/>
    <s v="Банк"/>
    <m/>
    <x v="1"/>
    <m/>
  </r>
  <r>
    <x v="4"/>
    <n v="194"/>
    <x v="7"/>
    <x v="7"/>
    <x v="1"/>
    <s v="шт."/>
    <s v="нед."/>
    <s v="Банк"/>
    <m/>
    <x v="1"/>
    <m/>
  </r>
  <r>
    <x v="5"/>
    <n v="231"/>
    <x v="7"/>
    <x v="7"/>
    <x v="1"/>
    <s v="шт."/>
    <s v="нед."/>
    <s v="Банк"/>
    <m/>
    <x v="1"/>
    <m/>
  </r>
  <r>
    <x v="6"/>
    <n v="146"/>
    <x v="7"/>
    <x v="7"/>
    <x v="1"/>
    <s v="шт."/>
    <s v="нед."/>
    <s v="Банк"/>
    <m/>
    <x v="1"/>
    <m/>
  </r>
  <r>
    <x v="7"/>
    <n v="193"/>
    <x v="7"/>
    <x v="7"/>
    <x v="1"/>
    <s v="шт."/>
    <s v="нед."/>
    <s v="Банк"/>
    <m/>
    <x v="1"/>
    <m/>
  </r>
  <r>
    <x v="8"/>
    <n v="192"/>
    <x v="7"/>
    <x v="7"/>
    <x v="1"/>
    <s v="шт."/>
    <s v="нед."/>
    <s v="Банк"/>
    <m/>
    <x v="1"/>
    <m/>
  </r>
  <r>
    <x v="9"/>
    <n v="239"/>
    <x v="7"/>
    <x v="7"/>
    <x v="1"/>
    <s v="шт."/>
    <s v="нед."/>
    <s v="Банк"/>
    <m/>
    <x v="1"/>
    <m/>
  </r>
  <r>
    <x v="10"/>
    <n v="156"/>
    <x v="7"/>
    <x v="7"/>
    <x v="1"/>
    <s v="шт."/>
    <s v="нед."/>
    <s v="Банк"/>
    <m/>
    <x v="1"/>
    <m/>
  </r>
  <r>
    <x v="11"/>
    <n v="213"/>
    <x v="7"/>
    <x v="7"/>
    <x v="1"/>
    <s v="шт."/>
    <s v="нед."/>
    <s v="Банк"/>
    <m/>
    <x v="1"/>
    <m/>
  </r>
  <r>
    <x v="12"/>
    <n v="204"/>
    <x v="7"/>
    <x v="7"/>
    <x v="1"/>
    <s v="шт."/>
    <s v="нед."/>
    <s v="Банк"/>
    <m/>
    <x v="1"/>
    <m/>
  </r>
  <r>
    <x v="13"/>
    <n v="227"/>
    <x v="7"/>
    <x v="7"/>
    <x v="1"/>
    <s v="шт."/>
    <s v="нед."/>
    <s v="Банк"/>
    <m/>
    <x v="1"/>
    <m/>
  </r>
  <r>
    <x v="14"/>
    <n v="212"/>
    <x v="7"/>
    <x v="7"/>
    <x v="1"/>
    <s v="шт."/>
    <s v="нед."/>
    <s v="Банк"/>
    <m/>
    <x v="1"/>
    <m/>
  </r>
  <r>
    <x v="15"/>
    <n v="374"/>
    <x v="7"/>
    <x v="7"/>
    <x v="1"/>
    <s v="шт."/>
    <s v="нед."/>
    <s v="Банк"/>
    <m/>
    <x v="1"/>
    <m/>
  </r>
  <r>
    <x v="16"/>
    <n v="546"/>
    <x v="7"/>
    <x v="7"/>
    <x v="1"/>
    <s v="шт."/>
    <s v="нед."/>
    <s v="Банк"/>
    <m/>
    <x v="1"/>
    <m/>
  </r>
  <r>
    <x v="17"/>
    <n v="572"/>
    <x v="7"/>
    <x v="7"/>
    <x v="1"/>
    <s v="шт."/>
    <s v="нед."/>
    <s v="Банк"/>
    <m/>
    <x v="1"/>
    <m/>
  </r>
  <r>
    <x v="18"/>
    <n v="453"/>
    <x v="7"/>
    <x v="7"/>
    <x v="1"/>
    <s v="шт."/>
    <s v="нед."/>
    <s v="Банк"/>
    <m/>
    <x v="1"/>
    <m/>
  </r>
  <r>
    <x v="19"/>
    <n v="394"/>
    <x v="7"/>
    <x v="7"/>
    <x v="1"/>
    <s v="шт."/>
    <s v="нед."/>
    <s v="Банк"/>
    <m/>
    <x v="1"/>
    <m/>
  </r>
  <r>
    <x v="20"/>
    <n v="410"/>
    <x v="7"/>
    <x v="7"/>
    <x v="1"/>
    <s v="шт."/>
    <s v="нед."/>
    <s v="Банк"/>
    <m/>
    <x v="1"/>
    <m/>
  </r>
  <r>
    <x v="21"/>
    <n v="310"/>
    <x v="7"/>
    <x v="7"/>
    <x v="1"/>
    <s v="шт."/>
    <s v="нед."/>
    <s v="Банк"/>
    <m/>
    <x v="1"/>
    <m/>
  </r>
  <r>
    <x v="22"/>
    <n v="402"/>
    <x v="7"/>
    <x v="7"/>
    <x v="1"/>
    <s v="шт."/>
    <s v="нед."/>
    <s v="Банк"/>
    <m/>
    <x v="1"/>
    <m/>
  </r>
  <r>
    <x v="23"/>
    <n v="333"/>
    <x v="7"/>
    <x v="7"/>
    <x v="1"/>
    <s v="шт."/>
    <s v="нед."/>
    <s v="Банк"/>
    <m/>
    <x v="1"/>
    <m/>
  </r>
  <r>
    <x v="24"/>
    <n v="247"/>
    <x v="7"/>
    <x v="7"/>
    <x v="1"/>
    <s v="шт."/>
    <s v="нед."/>
    <s v="Банк"/>
    <m/>
    <x v="1"/>
    <m/>
  </r>
  <r>
    <x v="25"/>
    <n v="265"/>
    <x v="7"/>
    <x v="7"/>
    <x v="1"/>
    <s v="шт."/>
    <s v="нед."/>
    <s v="Банк"/>
    <m/>
    <x v="1"/>
    <m/>
  </r>
  <r>
    <x v="26"/>
    <n v="315"/>
    <x v="7"/>
    <x v="7"/>
    <x v="1"/>
    <s v="шт."/>
    <s v="нед."/>
    <s v="Банк"/>
    <m/>
    <x v="1"/>
    <m/>
  </r>
  <r>
    <x v="27"/>
    <n v="376"/>
    <x v="7"/>
    <x v="7"/>
    <x v="1"/>
    <s v="шт."/>
    <s v="нед."/>
    <s v="Банк"/>
    <m/>
    <x v="1"/>
    <m/>
  </r>
  <r>
    <x v="28"/>
    <n v="372"/>
    <x v="7"/>
    <x v="7"/>
    <x v="1"/>
    <s v="шт."/>
    <s v="нед."/>
    <s v="Банк"/>
    <m/>
    <x v="1"/>
    <m/>
  </r>
  <r>
    <x v="29"/>
    <n v="275"/>
    <x v="7"/>
    <x v="7"/>
    <x v="1"/>
    <s v="шт."/>
    <s v="нед."/>
    <s v="Банк"/>
    <m/>
    <x v="1"/>
    <m/>
  </r>
  <r>
    <x v="30"/>
    <n v="294"/>
    <x v="7"/>
    <x v="7"/>
    <x v="1"/>
    <s v="шт."/>
    <s v="нед."/>
    <s v="Банк"/>
    <m/>
    <x v="1"/>
    <m/>
  </r>
  <r>
    <x v="0"/>
    <n v="1.5266903914590748"/>
    <x v="8"/>
    <x v="8"/>
    <x v="1"/>
    <s v="нед."/>
    <s v="нед."/>
    <s v="Банк"/>
    <m/>
    <x v="1"/>
    <m/>
  </r>
  <r>
    <x v="1"/>
    <n v="1.6928571428571428"/>
    <x v="8"/>
    <x v="8"/>
    <x v="1"/>
    <s v="нед."/>
    <s v="нед."/>
    <s v="Банк"/>
    <m/>
    <x v="1"/>
    <m/>
  </r>
  <r>
    <x v="2"/>
    <n v="1.9431818181818181"/>
    <x v="8"/>
    <x v="8"/>
    <x v="1"/>
    <s v="нед."/>
    <s v="нед."/>
    <s v="Банк"/>
    <m/>
    <x v="1"/>
    <m/>
  </r>
  <r>
    <x v="3"/>
    <n v="2.045977011494253"/>
    <x v="8"/>
    <x v="8"/>
    <x v="1"/>
    <s v="нед."/>
    <s v="нед."/>
    <s v="Банк"/>
    <m/>
    <x v="1"/>
    <m/>
  </r>
  <r>
    <x v="4"/>
    <n v="2.31459375"/>
    <x v="8"/>
    <x v="8"/>
    <x v="1"/>
    <s v="нед."/>
    <s v="нед."/>
    <s v="Банк"/>
    <m/>
    <x v="1"/>
    <m/>
  </r>
  <r>
    <x v="5"/>
    <n v="2.401858407079646"/>
    <x v="8"/>
    <x v="8"/>
    <x v="1"/>
    <s v="нед."/>
    <s v="нед."/>
    <s v="Банк"/>
    <m/>
    <x v="1"/>
    <m/>
  </r>
  <r>
    <x v="6"/>
    <n v="2.5117346938775515"/>
    <x v="8"/>
    <x v="8"/>
    <x v="1"/>
    <s v="нед."/>
    <s v="нед."/>
    <s v="Банк"/>
    <m/>
    <x v="1"/>
    <m/>
  </r>
  <r>
    <x v="7"/>
    <n v="2.5279374999999997"/>
    <x v="8"/>
    <x v="8"/>
    <x v="1"/>
    <s v="нед."/>
    <s v="нед."/>
    <s v="Банк"/>
    <m/>
    <x v="1"/>
    <m/>
  </r>
  <r>
    <x v="8"/>
    <n v="2.5904792332268367"/>
    <x v="8"/>
    <x v="8"/>
    <x v="1"/>
    <s v="нед."/>
    <s v="нед."/>
    <s v="Банк"/>
    <m/>
    <x v="1"/>
    <m/>
  </r>
  <r>
    <x v="9"/>
    <n v="2.7547115384615384"/>
    <x v="8"/>
    <x v="8"/>
    <x v="1"/>
    <s v="нед."/>
    <s v="нед."/>
    <s v="Банк"/>
    <m/>
    <x v="1"/>
    <m/>
  </r>
  <r>
    <x v="10"/>
    <n v="2.6561558441558444"/>
    <x v="8"/>
    <x v="8"/>
    <x v="1"/>
    <s v="нед."/>
    <s v="нед."/>
    <s v="Банк"/>
    <m/>
    <x v="1"/>
    <m/>
  </r>
  <r>
    <x v="11"/>
    <n v="2.809563318777293"/>
    <x v="8"/>
    <x v="8"/>
    <x v="1"/>
    <s v="нед."/>
    <s v="нед."/>
    <s v="Банк"/>
    <m/>
    <x v="1"/>
    <m/>
  </r>
  <r>
    <x v="12"/>
    <n v="2.9073437500000012"/>
    <x v="8"/>
    <x v="8"/>
    <x v="1"/>
    <s v="нед."/>
    <s v="нед."/>
    <s v="Банк"/>
    <m/>
    <x v="1"/>
    <m/>
  </r>
  <r>
    <x v="13"/>
    <n v="2.922848664688427"/>
    <x v="8"/>
    <x v="8"/>
    <x v="1"/>
    <s v="нед."/>
    <s v="нед."/>
    <s v="Банк"/>
    <m/>
    <x v="1"/>
    <m/>
  </r>
  <r>
    <x v="14"/>
    <n v="2.8106666666666666"/>
    <x v="8"/>
    <x v="8"/>
    <x v="1"/>
    <s v="нед."/>
    <s v="нед."/>
    <s v="Банк"/>
    <m/>
    <x v="1"/>
    <m/>
  </r>
  <r>
    <x v="15"/>
    <n v="2.331034482758621"/>
    <x v="8"/>
    <x v="8"/>
    <x v="1"/>
    <s v="нед."/>
    <s v="нед."/>
    <s v="Банк"/>
    <m/>
    <x v="1"/>
    <m/>
  </r>
  <r>
    <x v="16"/>
    <n v="2.2236559139784946"/>
    <x v="8"/>
    <x v="8"/>
    <x v="1"/>
    <s v="нед."/>
    <s v="нед."/>
    <s v="Банк"/>
    <m/>
    <x v="1"/>
    <m/>
  </r>
  <r>
    <x v="17"/>
    <n v="2.2649006622516556"/>
    <x v="8"/>
    <x v="8"/>
    <x v="1"/>
    <s v="нед."/>
    <s v="нед."/>
    <s v="Банк"/>
    <m/>
    <x v="1"/>
    <m/>
  </r>
  <r>
    <x v="18"/>
    <n v="1.6812977099236641"/>
    <x v="8"/>
    <x v="8"/>
    <x v="1"/>
    <s v="нед."/>
    <s v="нед."/>
    <s v="Банк"/>
    <m/>
    <x v="1"/>
    <m/>
  </r>
  <r>
    <x v="19"/>
    <n v="1.9808795411089866"/>
    <x v="8"/>
    <x v="8"/>
    <x v="1"/>
    <s v="нед."/>
    <s v="нед."/>
    <s v="Банк"/>
    <m/>
    <x v="1"/>
    <m/>
  </r>
  <r>
    <x v="20"/>
    <n v="2.032119914346895"/>
    <x v="8"/>
    <x v="8"/>
    <x v="1"/>
    <s v="нед."/>
    <s v="нед."/>
    <s v="Банк"/>
    <m/>
    <x v="1"/>
    <m/>
  </r>
  <r>
    <x v="21"/>
    <n v="2.891533333333333"/>
    <x v="8"/>
    <x v="8"/>
    <x v="1"/>
    <s v="нед."/>
    <s v="нед."/>
    <s v="Банк"/>
    <m/>
    <x v="1"/>
    <m/>
  </r>
  <r>
    <x v="22"/>
    <n v="3.0432735426008968"/>
    <x v="8"/>
    <x v="8"/>
    <x v="1"/>
    <s v="нед."/>
    <s v="нед."/>
    <s v="Банк"/>
    <m/>
    <x v="1"/>
    <m/>
  </r>
  <r>
    <x v="23"/>
    <n v="2.877206982543641"/>
    <x v="8"/>
    <x v="8"/>
    <x v="1"/>
    <s v="нед."/>
    <s v="нед."/>
    <s v="Банк"/>
    <m/>
    <x v="1"/>
    <m/>
  </r>
  <r>
    <x v="24"/>
    <n v="2.388535031847134"/>
    <x v="8"/>
    <x v="8"/>
    <x v="1"/>
    <s v="нед."/>
    <s v="нед."/>
    <s v="Банк"/>
    <m/>
    <x v="1"/>
    <m/>
  </r>
  <r>
    <x v="25"/>
    <n v="1.9196891191709844"/>
    <x v="8"/>
    <x v="8"/>
    <x v="1"/>
    <s v="нед."/>
    <s v="нед."/>
    <s v="Банк"/>
    <m/>
    <x v="1"/>
    <m/>
  </r>
  <r>
    <x v="26"/>
    <n v="2.481012658227848"/>
    <x v="8"/>
    <x v="8"/>
    <x v="1"/>
    <s v="нед."/>
    <s v="нед."/>
    <s v="Банк"/>
    <m/>
    <x v="1"/>
    <m/>
  </r>
  <r>
    <x v="27"/>
    <n v="1.7671232876712328"/>
    <x v="8"/>
    <x v="8"/>
    <x v="1"/>
    <s v="нед."/>
    <s v="нед."/>
    <s v="Банк"/>
    <m/>
    <x v="1"/>
    <m/>
  </r>
  <r>
    <x v="28"/>
    <n v="2.207792207792208"/>
    <x v="8"/>
    <x v="8"/>
    <x v="1"/>
    <s v="нед."/>
    <s v="нед."/>
    <s v="Банк"/>
    <m/>
    <x v="1"/>
    <m/>
  </r>
  <r>
    <x v="29"/>
    <n v="1.9816272965879265"/>
    <x v="8"/>
    <x v="8"/>
    <x v="1"/>
    <s v="нед."/>
    <s v="нед."/>
    <s v="Банк"/>
    <m/>
    <x v="1"/>
    <m/>
  </r>
  <r>
    <x v="30"/>
    <n v="2.10803324099723"/>
    <x v="8"/>
    <x v="8"/>
    <x v="1"/>
    <s v="нед."/>
    <s v="нед."/>
    <s v="Банк"/>
    <m/>
    <x v="1"/>
    <m/>
  </r>
  <r>
    <x v="31"/>
    <n v="31"/>
    <x v="9"/>
    <x v="9"/>
    <x v="0"/>
    <s v="шт."/>
    <s v="нед."/>
    <s v="Банк"/>
    <m/>
    <x v="0"/>
    <m/>
  </r>
  <r>
    <x v="32"/>
    <n v="34"/>
    <x v="9"/>
    <x v="9"/>
    <x v="0"/>
    <s v="шт."/>
    <s v="нед."/>
    <s v="Банк"/>
    <m/>
    <x v="0"/>
    <m/>
  </r>
  <r>
    <x v="0"/>
    <n v="34"/>
    <x v="9"/>
    <x v="9"/>
    <x v="0"/>
    <s v="шт."/>
    <s v="нед."/>
    <s v="Банк"/>
    <m/>
    <x v="0"/>
    <m/>
  </r>
  <r>
    <x v="1"/>
    <n v="34"/>
    <x v="9"/>
    <x v="9"/>
    <x v="0"/>
    <s v="шт."/>
    <s v="нед."/>
    <s v="Банк"/>
    <m/>
    <x v="0"/>
    <m/>
  </r>
  <r>
    <x v="2"/>
    <n v="34"/>
    <x v="9"/>
    <x v="9"/>
    <x v="0"/>
    <s v="шт."/>
    <s v="нед."/>
    <s v="Банк"/>
    <m/>
    <x v="0"/>
    <m/>
  </r>
  <r>
    <x v="3"/>
    <n v="34"/>
    <x v="9"/>
    <x v="9"/>
    <x v="0"/>
    <s v="шт."/>
    <s v="нед."/>
    <s v="Банк"/>
    <m/>
    <x v="0"/>
    <m/>
  </r>
  <r>
    <x v="4"/>
    <n v="34"/>
    <x v="9"/>
    <x v="9"/>
    <x v="0"/>
    <s v="шт."/>
    <s v="нед."/>
    <s v="Банк"/>
    <m/>
    <x v="0"/>
    <m/>
  </r>
  <r>
    <x v="5"/>
    <n v="34"/>
    <x v="9"/>
    <x v="9"/>
    <x v="0"/>
    <s v="шт."/>
    <s v="нед."/>
    <s v="Банк"/>
    <m/>
    <x v="0"/>
    <m/>
  </r>
  <r>
    <x v="6"/>
    <n v="34"/>
    <x v="9"/>
    <x v="9"/>
    <x v="0"/>
    <s v="шт."/>
    <s v="нед."/>
    <s v="Банк"/>
    <m/>
    <x v="0"/>
    <m/>
  </r>
  <r>
    <x v="7"/>
    <n v="34"/>
    <x v="9"/>
    <x v="9"/>
    <x v="0"/>
    <s v="шт."/>
    <s v="нед."/>
    <s v="Банк"/>
    <m/>
    <x v="0"/>
    <m/>
  </r>
  <r>
    <x v="8"/>
    <n v="34"/>
    <x v="9"/>
    <x v="9"/>
    <x v="0"/>
    <s v="шт."/>
    <s v="нед."/>
    <s v="Банк"/>
    <m/>
    <x v="0"/>
    <m/>
  </r>
  <r>
    <x v="9"/>
    <n v="34"/>
    <x v="9"/>
    <x v="9"/>
    <x v="0"/>
    <s v="шт."/>
    <s v="нед."/>
    <s v="Банк"/>
    <m/>
    <x v="0"/>
    <m/>
  </r>
  <r>
    <x v="10"/>
    <n v="34"/>
    <x v="9"/>
    <x v="9"/>
    <x v="0"/>
    <s v="шт."/>
    <s v="нед."/>
    <s v="Банк"/>
    <m/>
    <x v="0"/>
    <m/>
  </r>
  <r>
    <x v="11"/>
    <n v="34"/>
    <x v="9"/>
    <x v="9"/>
    <x v="0"/>
    <s v="шт."/>
    <s v="нед."/>
    <s v="Банк"/>
    <m/>
    <x v="0"/>
    <m/>
  </r>
  <r>
    <x v="12"/>
    <n v="34"/>
    <x v="9"/>
    <x v="9"/>
    <x v="0"/>
    <s v="шт."/>
    <s v="нед."/>
    <s v="Банк"/>
    <m/>
    <x v="0"/>
    <m/>
  </r>
  <r>
    <x v="13"/>
    <n v="36"/>
    <x v="9"/>
    <x v="9"/>
    <x v="0"/>
    <s v="шт."/>
    <s v="нед."/>
    <s v="Банк"/>
    <m/>
    <x v="0"/>
    <m/>
  </r>
  <r>
    <x v="14"/>
    <n v="36"/>
    <x v="9"/>
    <x v="9"/>
    <x v="0"/>
    <s v="шт."/>
    <s v="нед."/>
    <s v="Банк"/>
    <m/>
    <x v="0"/>
    <m/>
  </r>
  <r>
    <x v="15"/>
    <n v="36"/>
    <x v="9"/>
    <x v="9"/>
    <x v="0"/>
    <s v="шт."/>
    <s v="нед."/>
    <s v="Банк"/>
    <m/>
    <x v="0"/>
    <m/>
  </r>
  <r>
    <x v="16"/>
    <n v="36"/>
    <x v="9"/>
    <x v="9"/>
    <x v="0"/>
    <s v="шт."/>
    <s v="нед."/>
    <s v="Банк"/>
    <m/>
    <x v="0"/>
    <m/>
  </r>
  <r>
    <x v="17"/>
    <n v="36"/>
    <x v="9"/>
    <x v="9"/>
    <x v="0"/>
    <s v="шт."/>
    <s v="нед."/>
    <s v="Банк"/>
    <m/>
    <x v="0"/>
    <m/>
  </r>
  <r>
    <x v="18"/>
    <n v="36"/>
    <x v="9"/>
    <x v="9"/>
    <x v="0"/>
    <s v="шт."/>
    <s v="нед."/>
    <s v="Банк"/>
    <m/>
    <x v="0"/>
    <m/>
  </r>
  <r>
    <x v="19"/>
    <n v="36"/>
    <x v="9"/>
    <x v="9"/>
    <x v="0"/>
    <s v="шт."/>
    <s v="нед."/>
    <s v="Банк"/>
    <m/>
    <x v="0"/>
    <m/>
  </r>
  <r>
    <x v="20"/>
    <n v="36"/>
    <x v="9"/>
    <x v="9"/>
    <x v="0"/>
    <s v="шт."/>
    <s v="нед."/>
    <s v="Банк"/>
    <m/>
    <x v="0"/>
    <m/>
  </r>
  <r>
    <x v="21"/>
    <n v="36"/>
    <x v="9"/>
    <x v="9"/>
    <x v="0"/>
    <s v="шт."/>
    <s v="нед."/>
    <s v="Банк"/>
    <m/>
    <x v="0"/>
    <m/>
  </r>
  <r>
    <x v="22"/>
    <n v="36"/>
    <x v="9"/>
    <x v="9"/>
    <x v="0"/>
    <s v="шт."/>
    <s v="нед."/>
    <s v="Банк"/>
    <m/>
    <x v="0"/>
    <m/>
  </r>
  <r>
    <x v="23"/>
    <n v="36"/>
    <x v="9"/>
    <x v="9"/>
    <x v="0"/>
    <s v="шт."/>
    <s v="нед."/>
    <s v="Банк"/>
    <m/>
    <x v="0"/>
    <m/>
  </r>
  <r>
    <x v="24"/>
    <n v="36"/>
    <x v="9"/>
    <x v="9"/>
    <x v="0"/>
    <s v="шт."/>
    <s v="нед."/>
    <s v="Банк"/>
    <m/>
    <x v="0"/>
    <m/>
  </r>
  <r>
    <x v="25"/>
    <n v="36"/>
    <x v="9"/>
    <x v="9"/>
    <x v="0"/>
    <s v="шт."/>
    <s v="нед."/>
    <s v="Банк"/>
    <m/>
    <x v="0"/>
    <m/>
  </r>
  <r>
    <x v="26"/>
    <n v="36"/>
    <x v="9"/>
    <x v="9"/>
    <x v="0"/>
    <s v="шт."/>
    <s v="нед."/>
    <s v="Банк"/>
    <m/>
    <x v="0"/>
    <m/>
  </r>
  <r>
    <x v="27"/>
    <n v="36"/>
    <x v="9"/>
    <x v="9"/>
    <x v="0"/>
    <s v="шт."/>
    <s v="нед."/>
    <s v="Банк"/>
    <m/>
    <x v="0"/>
    <m/>
  </r>
  <r>
    <x v="28"/>
    <n v="36"/>
    <x v="9"/>
    <x v="9"/>
    <x v="0"/>
    <s v="шт."/>
    <s v="нед."/>
    <s v="Банк"/>
    <m/>
    <x v="0"/>
    <m/>
  </r>
  <r>
    <x v="29"/>
    <n v="36"/>
    <x v="9"/>
    <x v="9"/>
    <x v="0"/>
    <s v="шт."/>
    <s v="нед."/>
    <s v="Банк"/>
    <m/>
    <x v="0"/>
    <m/>
  </r>
  <r>
    <x v="30"/>
    <n v="36"/>
    <x v="9"/>
    <x v="9"/>
    <x v="0"/>
    <s v="шт."/>
    <s v="нед."/>
    <s v="Банк"/>
    <m/>
    <x v="0"/>
    <m/>
  </r>
  <r>
    <x v="14"/>
    <n v="-1"/>
    <x v="10"/>
    <x v="10"/>
    <x v="0"/>
    <s v="шт."/>
    <s v="нед."/>
    <s v="Банк"/>
    <m/>
    <x v="2"/>
    <m/>
  </r>
  <r>
    <x v="2"/>
    <n v="-1"/>
    <x v="10"/>
    <x v="10"/>
    <x v="0"/>
    <s v="шт."/>
    <s v="нед."/>
    <s v="Банк"/>
    <m/>
    <x v="3"/>
    <m/>
  </r>
  <r>
    <x v="4"/>
    <n v="-1"/>
    <x v="10"/>
    <x v="10"/>
    <x v="0"/>
    <s v="шт."/>
    <s v="нед."/>
    <s v="Банк"/>
    <m/>
    <x v="4"/>
    <m/>
  </r>
  <r>
    <x v="4"/>
    <n v="-1"/>
    <x v="11"/>
    <x v="11"/>
    <x v="0"/>
    <s v="шт."/>
    <s v="нед."/>
    <s v="Банк"/>
    <m/>
    <x v="5"/>
    <m/>
  </r>
  <r>
    <x v="4"/>
    <n v="-1"/>
    <x v="11"/>
    <x v="11"/>
    <x v="0"/>
    <s v="шт."/>
    <s v="нед."/>
    <s v="Банк"/>
    <m/>
    <x v="6"/>
    <m/>
  </r>
  <r>
    <x v="16"/>
    <n v="-1"/>
    <x v="11"/>
    <x v="11"/>
    <x v="0"/>
    <s v="шт."/>
    <s v="нед."/>
    <s v="Банк"/>
    <m/>
    <x v="7"/>
    <m/>
  </r>
  <r>
    <x v="13"/>
    <n v="1"/>
    <x v="12"/>
    <x v="12"/>
    <x v="0"/>
    <s v="шт."/>
    <s v="нед."/>
    <s v="Банк"/>
    <m/>
    <x v="8"/>
    <m/>
  </r>
  <r>
    <x v="13"/>
    <n v="1"/>
    <x v="12"/>
    <x v="12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10"/>
    <m/>
  </r>
  <r>
    <x v="16"/>
    <n v="-1"/>
    <x v="11"/>
    <x v="11"/>
    <x v="0"/>
    <s v="шт."/>
    <s v="нед."/>
    <s v="Банк"/>
    <m/>
    <x v="11"/>
    <m/>
  </r>
  <r>
    <x v="32"/>
    <n v="1"/>
    <x v="12"/>
    <x v="12"/>
    <x v="0"/>
    <s v="шт."/>
    <s v="нед."/>
    <s v="Банк"/>
    <m/>
    <x v="12"/>
    <m/>
  </r>
  <r>
    <x v="32"/>
    <n v="1"/>
    <x v="12"/>
    <x v="12"/>
    <x v="0"/>
    <s v="шт."/>
    <s v="нед."/>
    <s v="Банк"/>
    <m/>
    <x v="13"/>
    <m/>
  </r>
  <r>
    <x v="33"/>
    <n v="1"/>
    <x v="12"/>
    <x v="12"/>
    <x v="0"/>
    <s v="шт."/>
    <s v="нед."/>
    <s v="Банк"/>
    <m/>
    <x v="14"/>
    <m/>
  </r>
  <r>
    <x v="33"/>
    <n v="1"/>
    <x v="12"/>
    <x v="12"/>
    <x v="0"/>
    <s v="шт."/>
    <s v="нед."/>
    <s v="Банк"/>
    <m/>
    <x v="15"/>
    <m/>
  </r>
  <r>
    <x v="33"/>
    <n v="1"/>
    <x v="12"/>
    <x v="12"/>
    <x v="0"/>
    <s v="шт."/>
    <s v="нед."/>
    <s v="Банк"/>
    <m/>
    <x v="16"/>
    <m/>
  </r>
  <r>
    <x v="33"/>
    <n v="1"/>
    <x v="12"/>
    <x v="12"/>
    <x v="0"/>
    <s v="шт."/>
    <s v="нед."/>
    <s v="Банк"/>
    <m/>
    <x v="17"/>
    <m/>
  </r>
  <r>
    <x v="16"/>
    <n v="-1"/>
    <x v="11"/>
    <x v="11"/>
    <x v="0"/>
    <s v="шт."/>
    <s v="нед."/>
    <s v="Банк"/>
    <m/>
    <x v="18"/>
    <m/>
  </r>
  <r>
    <x v="9"/>
    <n v="-1"/>
    <x v="11"/>
    <x v="11"/>
    <x v="0"/>
    <s v="шт."/>
    <s v="нед."/>
    <s v="Банк"/>
    <m/>
    <x v="19"/>
    <m/>
  </r>
  <r>
    <x v="9"/>
    <n v="-1"/>
    <x v="11"/>
    <x v="11"/>
    <x v="0"/>
    <s v="шт."/>
    <s v="нед."/>
    <s v="Банк"/>
    <m/>
    <x v="20"/>
    <m/>
  </r>
  <r>
    <x v="4"/>
    <n v="-1"/>
    <x v="11"/>
    <x v="11"/>
    <x v="0"/>
    <s v="шт."/>
    <s v="нед."/>
    <s v="Банк"/>
    <m/>
    <x v="21"/>
    <m/>
  </r>
  <r>
    <x v="16"/>
    <n v="-1"/>
    <x v="11"/>
    <x v="11"/>
    <x v="0"/>
    <s v="шт."/>
    <s v="нед."/>
    <s v="Банк"/>
    <m/>
    <x v="22"/>
    <m/>
  </r>
  <r>
    <x v="16"/>
    <n v="-1"/>
    <x v="11"/>
    <x v="11"/>
    <x v="0"/>
    <s v="шт."/>
    <s v="нед."/>
    <s v="Банк"/>
    <m/>
    <x v="23"/>
    <m/>
  </r>
  <r>
    <x v="4"/>
    <n v="-1"/>
    <x v="11"/>
    <x v="11"/>
    <x v="0"/>
    <s v="шт."/>
    <s v="нед."/>
    <s v="Банк"/>
    <m/>
    <x v="24"/>
    <m/>
  </r>
  <r>
    <x v="4"/>
    <n v="-1"/>
    <x v="11"/>
    <x v="11"/>
    <x v="0"/>
    <s v="шт."/>
    <s v="нед."/>
    <s v="Банк"/>
    <m/>
    <x v="25"/>
    <m/>
  </r>
  <r>
    <x v="2"/>
    <n v="-1"/>
    <x v="10"/>
    <x v="10"/>
    <x v="0"/>
    <s v="шт."/>
    <s v="нед."/>
    <s v="Банк"/>
    <m/>
    <x v="26"/>
    <m/>
  </r>
  <r>
    <x v="32"/>
    <n v="1"/>
    <x v="12"/>
    <x v="12"/>
    <x v="0"/>
    <s v="шт."/>
    <s v="нед."/>
    <s v="Банк"/>
    <m/>
    <x v="1"/>
    <m/>
  </r>
  <r>
    <x v="29"/>
    <n v="2490"/>
    <x v="13"/>
    <x v="13"/>
    <x v="1"/>
    <s v="чел."/>
    <s v="нед."/>
    <s v="Банк"/>
    <m/>
    <x v="1"/>
    <m/>
  </r>
  <r>
    <x v="29"/>
    <n v="2490"/>
    <x v="14"/>
    <x v="14"/>
    <x v="1"/>
    <s v="чел."/>
    <s v="нед."/>
    <s v="Банк"/>
    <m/>
    <x v="1"/>
    <m/>
  </r>
  <r>
    <x v="29"/>
    <n v="100"/>
    <x v="15"/>
    <x v="15"/>
    <x v="1"/>
    <s v="%"/>
    <s v="нед."/>
    <s v="Банк"/>
    <m/>
    <x v="1"/>
    <m/>
  </r>
  <r>
    <x v="29"/>
    <n v="100"/>
    <x v="16"/>
    <x v="16"/>
    <x v="1"/>
    <s v="%"/>
    <s v="нед."/>
    <s v="Банк"/>
    <m/>
    <x v="1"/>
    <m/>
  </r>
  <r>
    <x v="29"/>
    <n v="1800"/>
    <x v="17"/>
    <x v="17"/>
    <x v="1"/>
    <s v="чел."/>
    <s v="нед."/>
    <s v="Банк"/>
    <m/>
    <x v="1"/>
    <m/>
  </r>
  <r>
    <x v="29"/>
    <n v="72.28915662650603"/>
    <x v="18"/>
    <x v="18"/>
    <x v="1"/>
    <s v="%"/>
    <s v="нед."/>
    <s v="Банк"/>
    <m/>
    <x v="1"/>
    <m/>
  </r>
  <r>
    <x v="29"/>
    <n v="72.28915662650603"/>
    <x v="19"/>
    <x v="19"/>
    <x v="1"/>
    <s v="%"/>
    <s v="нед."/>
    <s v="Банк"/>
    <m/>
    <x v="1"/>
    <m/>
  </r>
  <r>
    <x v="29"/>
    <n v="800"/>
    <x v="20"/>
    <x v="20"/>
    <x v="1"/>
    <s v="чел."/>
    <s v="нед."/>
    <s v="Банк"/>
    <m/>
    <x v="1"/>
    <m/>
  </r>
  <r>
    <x v="29"/>
    <n v="44.44444444444444"/>
    <x v="21"/>
    <x v="21"/>
    <x v="1"/>
    <s v="%"/>
    <s v="нед."/>
    <s v="Банк"/>
    <m/>
    <x v="1"/>
    <m/>
  </r>
  <r>
    <x v="29"/>
    <n v="32.1285140562249"/>
    <x v="22"/>
    <x v="22"/>
    <x v="1"/>
    <s v="%"/>
    <s v="нед."/>
    <s v="Банк"/>
    <m/>
    <x v="1"/>
    <m/>
  </r>
  <r>
    <x v="29"/>
    <n v="700"/>
    <x v="23"/>
    <x v="23"/>
    <x v="1"/>
    <s v="чел."/>
    <s v="нед."/>
    <s v="Банк"/>
    <m/>
    <x v="1"/>
    <m/>
  </r>
  <r>
    <x v="29"/>
    <n v="87.5"/>
    <x v="24"/>
    <x v="24"/>
    <x v="1"/>
    <s v="%"/>
    <s v="нед."/>
    <s v="Банк"/>
    <m/>
    <x v="1"/>
    <m/>
  </r>
  <r>
    <x v="29"/>
    <n v="28.11244979919679"/>
    <x v="25"/>
    <x v="25"/>
    <x v="1"/>
    <s v="%"/>
    <s v="нед."/>
    <s v="Банк"/>
    <m/>
    <x v="1"/>
    <m/>
  </r>
  <r>
    <x v="29"/>
    <n v="600"/>
    <x v="26"/>
    <x v="26"/>
    <x v="1"/>
    <s v="чел."/>
    <s v="нед."/>
    <s v="Банк"/>
    <m/>
    <x v="1"/>
    <m/>
  </r>
  <r>
    <x v="29"/>
    <n v="85.71428571428571"/>
    <x v="27"/>
    <x v="27"/>
    <x v="1"/>
    <s v="%"/>
    <s v="нед."/>
    <s v="Банк"/>
    <m/>
    <x v="1"/>
    <m/>
  </r>
  <r>
    <x v="29"/>
    <n v="24.096385542168676"/>
    <x v="28"/>
    <x v="28"/>
    <x v="1"/>
    <s v="%"/>
    <s v="нед."/>
    <s v="Банк"/>
    <m/>
    <x v="1"/>
    <m/>
  </r>
  <r>
    <x v="29"/>
    <n v="553"/>
    <x v="29"/>
    <x v="29"/>
    <x v="1"/>
    <s v="чел."/>
    <s v="нед."/>
    <s v="Банк"/>
    <m/>
    <x v="1"/>
    <m/>
  </r>
  <r>
    <x v="29"/>
    <n v="92.16666666666666"/>
    <x v="30"/>
    <x v="30"/>
    <x v="1"/>
    <s v="%"/>
    <s v="нед."/>
    <s v="Банк"/>
    <m/>
    <x v="1"/>
    <m/>
  </r>
  <r>
    <x v="29"/>
    <n v="22.208835341365464"/>
    <x v="31"/>
    <x v="31"/>
    <x v="1"/>
    <s v="%"/>
    <s v="нед."/>
    <s v="Банк"/>
    <m/>
    <x v="1"/>
    <m/>
  </r>
  <r>
    <x v="29"/>
    <n v="50"/>
    <x v="32"/>
    <x v="32"/>
    <x v="1"/>
    <s v="%"/>
    <s v="мес."/>
    <s v="Банк"/>
    <m/>
    <x v="1"/>
    <m/>
  </r>
  <r>
    <x v="29"/>
    <n v="4.1"/>
    <x v="33"/>
    <x v="33"/>
    <x v="1"/>
    <s v="повтор."/>
    <s v="мес."/>
    <s v="Банк"/>
    <m/>
    <x v="1"/>
    <m/>
  </r>
  <r>
    <x v="29"/>
    <n v="60"/>
    <x v="34"/>
    <x v="32"/>
    <x v="0"/>
    <s v="%"/>
    <s v="мес."/>
    <s v="Банк"/>
    <m/>
    <x v="0"/>
    <m/>
  </r>
  <r>
    <x v="29"/>
    <n v="5.1"/>
    <x v="35"/>
    <x v="34"/>
    <x v="0"/>
    <s v="повтор."/>
    <s v="мес."/>
    <s v="Банк"/>
    <m/>
    <x v="0"/>
    <m/>
  </r>
  <r>
    <x v="0"/>
    <n v="1534"/>
    <x v="36"/>
    <x v="35"/>
    <x v="0"/>
    <s v="шт."/>
    <s v="нед."/>
    <s v="Банк"/>
    <m/>
    <x v="0"/>
    <m/>
  </r>
  <r>
    <x v="1"/>
    <n v="1250"/>
    <x v="36"/>
    <x v="35"/>
    <x v="0"/>
    <s v="шт."/>
    <s v="нед."/>
    <s v="Банк"/>
    <m/>
    <x v="0"/>
    <m/>
  </r>
  <r>
    <x v="2"/>
    <n v="1340"/>
    <x v="36"/>
    <x v="35"/>
    <x v="0"/>
    <s v="шт."/>
    <s v="нед."/>
    <s v="Банк"/>
    <m/>
    <x v="0"/>
    <m/>
  </r>
  <r>
    <x v="3"/>
    <n v="1217"/>
    <x v="36"/>
    <x v="35"/>
    <x v="0"/>
    <s v="шт."/>
    <s v="нед."/>
    <s v="Банк"/>
    <m/>
    <x v="0"/>
    <m/>
  </r>
  <r>
    <x v="4"/>
    <n v="1378"/>
    <x v="36"/>
    <x v="35"/>
    <x v="0"/>
    <s v="шт."/>
    <s v="нед."/>
    <s v="Банк"/>
    <m/>
    <x v="0"/>
    <m/>
  </r>
  <r>
    <x v="5"/>
    <n v="920"/>
    <x v="36"/>
    <x v="35"/>
    <x v="0"/>
    <s v="шт."/>
    <s v="нед."/>
    <s v="Банк"/>
    <m/>
    <x v="0"/>
    <m/>
  </r>
  <r>
    <x v="7"/>
    <n v="966"/>
    <x v="36"/>
    <x v="35"/>
    <x v="0"/>
    <s v="шт."/>
    <s v="нед."/>
    <s v="Банк"/>
    <m/>
    <x v="0"/>
    <m/>
  </r>
  <r>
    <x v="8"/>
    <n v="1093"/>
    <x v="36"/>
    <x v="35"/>
    <x v="0"/>
    <s v="шт."/>
    <s v="нед."/>
    <s v="Банк"/>
    <m/>
    <x v="0"/>
    <m/>
  </r>
  <r>
    <x v="9"/>
    <n v="1199"/>
    <x v="36"/>
    <x v="35"/>
    <x v="0"/>
    <s v="шт."/>
    <s v="нед."/>
    <s v="Банк"/>
    <m/>
    <x v="0"/>
    <m/>
  </r>
  <r>
    <x v="10"/>
    <n v="1190"/>
    <x v="36"/>
    <x v="35"/>
    <x v="0"/>
    <s v="шт."/>
    <s v="нед."/>
    <s v="Банк"/>
    <m/>
    <x v="0"/>
    <m/>
  </r>
  <r>
    <x v="11"/>
    <n v="1133"/>
    <x v="36"/>
    <x v="35"/>
    <x v="0"/>
    <s v="шт."/>
    <s v="нед."/>
    <s v="Банк"/>
    <m/>
    <x v="0"/>
    <m/>
  </r>
  <r>
    <x v="12"/>
    <n v="1097"/>
    <x v="36"/>
    <x v="35"/>
    <x v="0"/>
    <s v="шт."/>
    <s v="нед."/>
    <s v="Банк"/>
    <m/>
    <x v="0"/>
    <m/>
  </r>
  <r>
    <x v="13"/>
    <n v="1233"/>
    <x v="36"/>
    <x v="35"/>
    <x v="0"/>
    <s v="шт."/>
    <s v="нед."/>
    <s v="Банк"/>
    <m/>
    <x v="0"/>
    <m/>
  </r>
  <r>
    <x v="14"/>
    <n v="779"/>
    <x v="36"/>
    <x v="35"/>
    <x v="0"/>
    <s v="шт."/>
    <s v="нед."/>
    <s v="Банк"/>
    <m/>
    <x v="0"/>
    <m/>
  </r>
  <r>
    <x v="15"/>
    <n v="1146"/>
    <x v="36"/>
    <x v="35"/>
    <x v="0"/>
    <s v="шт."/>
    <s v="нед."/>
    <s v="Банк"/>
    <m/>
    <x v="0"/>
    <m/>
  </r>
  <r>
    <x v="16"/>
    <n v="1831"/>
    <x v="36"/>
    <x v="35"/>
    <x v="0"/>
    <s v="шт."/>
    <s v="нед."/>
    <s v="Банк"/>
    <m/>
    <x v="0"/>
    <m/>
  </r>
  <r>
    <x v="17"/>
    <n v="1893"/>
    <x v="36"/>
    <x v="35"/>
    <x v="0"/>
    <s v="шт."/>
    <s v="нед."/>
    <s v="Банк"/>
    <m/>
    <x v="0"/>
    <m/>
  </r>
  <r>
    <x v="18"/>
    <n v="1702"/>
    <x v="36"/>
    <x v="35"/>
    <x v="0"/>
    <s v="шт."/>
    <s v="нед."/>
    <s v="Банк"/>
    <m/>
    <x v="0"/>
    <m/>
  </r>
  <r>
    <x v="19"/>
    <n v="1508"/>
    <x v="36"/>
    <x v="35"/>
    <x v="0"/>
    <s v="шт."/>
    <s v="нед."/>
    <s v="Банк"/>
    <m/>
    <x v="0"/>
    <m/>
  </r>
  <r>
    <x v="20"/>
    <n v="1522"/>
    <x v="36"/>
    <x v="35"/>
    <x v="0"/>
    <s v="шт."/>
    <s v="нед."/>
    <s v="Банк"/>
    <m/>
    <x v="0"/>
    <m/>
  </r>
  <r>
    <x v="21"/>
    <n v="1255"/>
    <x v="36"/>
    <x v="35"/>
    <x v="0"/>
    <s v="шт."/>
    <s v="нед."/>
    <s v="Банк"/>
    <m/>
    <x v="0"/>
    <m/>
  </r>
  <r>
    <x v="22"/>
    <n v="1274"/>
    <x v="36"/>
    <x v="35"/>
    <x v="0"/>
    <s v="шт."/>
    <s v="нед."/>
    <s v="Банк"/>
    <m/>
    <x v="0"/>
    <m/>
  </r>
  <r>
    <x v="23"/>
    <n v="1206"/>
    <x v="36"/>
    <x v="35"/>
    <x v="0"/>
    <s v="шт."/>
    <s v="нед."/>
    <s v="Банк"/>
    <m/>
    <x v="0"/>
    <m/>
  </r>
  <r>
    <x v="24"/>
    <n v="1034"/>
    <x v="36"/>
    <x v="35"/>
    <x v="0"/>
    <s v="шт."/>
    <s v="нед."/>
    <s v="Банк"/>
    <m/>
    <x v="0"/>
    <m/>
  </r>
  <r>
    <x v="25"/>
    <n v="905"/>
    <x v="36"/>
    <x v="35"/>
    <x v="0"/>
    <s v="шт."/>
    <s v="нед."/>
    <s v="Банк"/>
    <m/>
    <x v="0"/>
    <m/>
  </r>
  <r>
    <x v="26"/>
    <n v="1078"/>
    <x v="36"/>
    <x v="35"/>
    <x v="0"/>
    <s v="шт."/>
    <s v="нед."/>
    <s v="Банк"/>
    <m/>
    <x v="0"/>
    <m/>
  </r>
  <r>
    <x v="27"/>
    <n v="1111"/>
    <x v="36"/>
    <x v="35"/>
    <x v="0"/>
    <s v="шт."/>
    <s v="нед."/>
    <s v="Банк"/>
    <m/>
    <x v="0"/>
    <m/>
  </r>
  <r>
    <x v="28"/>
    <n v="1073"/>
    <x v="36"/>
    <x v="35"/>
    <x v="0"/>
    <s v="шт."/>
    <s v="нед."/>
    <s v="Банк"/>
    <m/>
    <x v="0"/>
    <m/>
  </r>
  <r>
    <x v="29"/>
    <n v="823"/>
    <x v="36"/>
    <x v="35"/>
    <x v="0"/>
    <s v="шт."/>
    <s v="нед."/>
    <s v="Банк"/>
    <m/>
    <x v="0"/>
    <m/>
  </r>
  <r>
    <x v="30"/>
    <n v="1011"/>
    <x v="36"/>
    <x v="35"/>
    <x v="0"/>
    <s v="шт."/>
    <s v="нед."/>
    <s v="Банк"/>
    <m/>
    <x v="0"/>
    <m/>
  </r>
  <r>
    <x v="0"/>
    <n v="1493"/>
    <x v="37"/>
    <x v="36"/>
    <x v="0"/>
    <s v="шт."/>
    <s v="нед."/>
    <s v="Банк"/>
    <m/>
    <x v="0"/>
    <m/>
  </r>
  <r>
    <x v="1"/>
    <n v="1739"/>
    <x v="37"/>
    <x v="36"/>
    <x v="0"/>
    <s v="шт."/>
    <s v="нед."/>
    <s v="Банк"/>
    <m/>
    <x v="0"/>
    <m/>
  </r>
  <r>
    <x v="2"/>
    <n v="1539"/>
    <x v="37"/>
    <x v="36"/>
    <x v="0"/>
    <s v="шт."/>
    <s v="нед."/>
    <s v="Банк"/>
    <m/>
    <x v="0"/>
    <m/>
  </r>
  <r>
    <x v="3"/>
    <n v="1480"/>
    <x v="37"/>
    <x v="36"/>
    <x v="0"/>
    <s v="шт."/>
    <s v="нед."/>
    <s v="Банк"/>
    <m/>
    <x v="0"/>
    <m/>
  </r>
  <r>
    <x v="4"/>
    <n v="1488"/>
    <x v="37"/>
    <x v="36"/>
    <x v="0"/>
    <s v="шт."/>
    <s v="нед."/>
    <s v="Банк"/>
    <m/>
    <x v="0"/>
    <m/>
  </r>
  <r>
    <x v="5"/>
    <n v="1298"/>
    <x v="37"/>
    <x v="36"/>
    <x v="0"/>
    <s v="шт."/>
    <s v="нед."/>
    <s v="Банк"/>
    <m/>
    <x v="0"/>
    <m/>
  </r>
  <r>
    <x v="7"/>
    <n v="1275"/>
    <x v="37"/>
    <x v="36"/>
    <x v="0"/>
    <s v="шт."/>
    <s v="нед."/>
    <s v="Банк"/>
    <m/>
    <x v="0"/>
    <m/>
  </r>
  <r>
    <x v="8"/>
    <n v="1337"/>
    <x v="37"/>
    <x v="36"/>
    <x v="0"/>
    <s v="шт."/>
    <s v="нед."/>
    <s v="Банк"/>
    <m/>
    <x v="0"/>
    <m/>
  </r>
  <r>
    <x v="9"/>
    <n v="1437"/>
    <x v="37"/>
    <x v="36"/>
    <x v="0"/>
    <s v="шт."/>
    <s v="нед."/>
    <s v="Банк"/>
    <m/>
    <x v="0"/>
    <m/>
  </r>
  <r>
    <x v="10"/>
    <n v="1243"/>
    <x v="37"/>
    <x v="36"/>
    <x v="0"/>
    <s v="шт."/>
    <s v="нед."/>
    <s v="Банк"/>
    <m/>
    <x v="0"/>
    <m/>
  </r>
  <r>
    <x v="11"/>
    <n v="1470"/>
    <x v="37"/>
    <x v="36"/>
    <x v="0"/>
    <s v="шт."/>
    <s v="нед."/>
    <s v="Банк"/>
    <m/>
    <x v="0"/>
    <m/>
  </r>
  <r>
    <x v="12"/>
    <n v="1391"/>
    <x v="37"/>
    <x v="36"/>
    <x v="0"/>
    <s v="шт."/>
    <s v="нед."/>
    <s v="Банк"/>
    <m/>
    <x v="0"/>
    <m/>
  </r>
  <r>
    <x v="13"/>
    <n v="1369"/>
    <x v="37"/>
    <x v="36"/>
    <x v="0"/>
    <s v="шт."/>
    <s v="нед."/>
    <s v="Банк"/>
    <m/>
    <x v="0"/>
    <m/>
  </r>
  <r>
    <x v="14"/>
    <n v="949"/>
    <x v="37"/>
    <x v="36"/>
    <x v="0"/>
    <s v="шт."/>
    <s v="нед."/>
    <s v="Банк"/>
    <m/>
    <x v="0"/>
    <m/>
  </r>
  <r>
    <x v="15"/>
    <n v="1046"/>
    <x v="37"/>
    <x v="36"/>
    <x v="0"/>
    <s v="шт."/>
    <s v="нед."/>
    <s v="Банк"/>
    <m/>
    <x v="0"/>
    <m/>
  </r>
  <r>
    <x v="16"/>
    <n v="1299"/>
    <x v="37"/>
    <x v="36"/>
    <x v="0"/>
    <s v="шт."/>
    <s v="нед."/>
    <s v="Банк"/>
    <m/>
    <x v="0"/>
    <m/>
  </r>
  <r>
    <x v="17"/>
    <n v="1610"/>
    <x v="37"/>
    <x v="36"/>
    <x v="0"/>
    <s v="шт."/>
    <s v="нед."/>
    <s v="Банк"/>
    <m/>
    <x v="0"/>
    <m/>
  </r>
  <r>
    <x v="18"/>
    <n v="1335"/>
    <x v="37"/>
    <x v="36"/>
    <x v="0"/>
    <s v="шт."/>
    <s v="нед."/>
    <s v="Банк"/>
    <m/>
    <x v="0"/>
    <m/>
  </r>
  <r>
    <x v="19"/>
    <n v="1258"/>
    <x v="37"/>
    <x v="36"/>
    <x v="0"/>
    <s v="шт."/>
    <s v="нед."/>
    <s v="Банк"/>
    <m/>
    <x v="0"/>
    <m/>
  </r>
  <r>
    <x v="20"/>
    <n v="1347"/>
    <x v="37"/>
    <x v="36"/>
    <x v="0"/>
    <s v="шт."/>
    <s v="нед."/>
    <s v="Банк"/>
    <m/>
    <x v="0"/>
    <m/>
  </r>
  <r>
    <x v="21"/>
    <n v="1180"/>
    <x v="37"/>
    <x v="36"/>
    <x v="0"/>
    <s v="шт."/>
    <s v="нед."/>
    <s v="Банк"/>
    <m/>
    <x v="0"/>
    <m/>
  </r>
  <r>
    <x v="22"/>
    <n v="1237"/>
    <x v="37"/>
    <x v="36"/>
    <x v="0"/>
    <s v="шт."/>
    <s v="нед."/>
    <s v="Банк"/>
    <m/>
    <x v="0"/>
    <m/>
  </r>
  <r>
    <x v="23"/>
    <n v="1164"/>
    <x v="37"/>
    <x v="36"/>
    <x v="0"/>
    <s v="шт."/>
    <s v="нед."/>
    <s v="Банк"/>
    <m/>
    <x v="0"/>
    <m/>
  </r>
  <r>
    <x v="24"/>
    <n v="1064"/>
    <x v="37"/>
    <x v="36"/>
    <x v="0"/>
    <s v="шт."/>
    <s v="нед."/>
    <s v="Банк"/>
    <m/>
    <x v="0"/>
    <m/>
  </r>
  <r>
    <x v="25"/>
    <n v="933"/>
    <x v="37"/>
    <x v="36"/>
    <x v="0"/>
    <s v="шт."/>
    <s v="нед."/>
    <s v="Банк"/>
    <m/>
    <x v="0"/>
    <m/>
  </r>
  <r>
    <x v="26"/>
    <n v="1000"/>
    <x v="37"/>
    <x v="36"/>
    <x v="0"/>
    <s v="шт."/>
    <s v="нед."/>
    <s v="Банк"/>
    <m/>
    <x v="0"/>
    <m/>
  </r>
  <r>
    <x v="27"/>
    <n v="908"/>
    <x v="37"/>
    <x v="36"/>
    <x v="0"/>
    <s v="шт."/>
    <s v="нед."/>
    <s v="Банк"/>
    <m/>
    <x v="0"/>
    <m/>
  </r>
  <r>
    <x v="28"/>
    <n v="999"/>
    <x v="37"/>
    <x v="36"/>
    <x v="0"/>
    <s v="шт."/>
    <s v="нед."/>
    <s v="Банк"/>
    <m/>
    <x v="0"/>
    <m/>
  </r>
  <r>
    <x v="29"/>
    <n v="801"/>
    <x v="37"/>
    <x v="36"/>
    <x v="0"/>
    <s v="шт."/>
    <s v="нед."/>
    <s v="Банк"/>
    <m/>
    <x v="0"/>
    <m/>
  </r>
  <r>
    <x v="30"/>
    <n v="840"/>
    <x v="37"/>
    <x v="36"/>
    <x v="0"/>
    <s v="шт."/>
    <s v="нед."/>
    <s v="Банк"/>
    <m/>
    <x v="0"/>
    <m/>
  </r>
  <r>
    <x v="0"/>
    <n v="381"/>
    <x v="38"/>
    <x v="35"/>
    <x v="1"/>
    <s v="шт."/>
    <s v="нед."/>
    <s v="Банк"/>
    <m/>
    <x v="1"/>
    <m/>
  </r>
  <r>
    <x v="1"/>
    <n v="240"/>
    <x v="38"/>
    <x v="35"/>
    <x v="1"/>
    <s v="шт."/>
    <s v="нед."/>
    <s v="Банк"/>
    <m/>
    <x v="1"/>
    <m/>
  </r>
  <r>
    <x v="2"/>
    <n v="478"/>
    <x v="38"/>
    <x v="35"/>
    <x v="1"/>
    <s v="шт."/>
    <s v="нед."/>
    <s v="Банк"/>
    <m/>
    <x v="1"/>
    <m/>
  </r>
  <r>
    <x v="3"/>
    <n v="307"/>
    <x v="38"/>
    <x v="35"/>
    <x v="1"/>
    <s v="шт."/>
    <s v="нед."/>
    <s v="Банк"/>
    <m/>
    <x v="1"/>
    <m/>
  </r>
  <r>
    <x v="4"/>
    <n v="417"/>
    <x v="38"/>
    <x v="35"/>
    <x v="1"/>
    <s v="шт."/>
    <s v="нед."/>
    <s v="Банк"/>
    <m/>
    <x v="1"/>
    <m/>
  </r>
  <r>
    <x v="5"/>
    <n v="218"/>
    <x v="38"/>
    <x v="35"/>
    <x v="1"/>
    <s v="шт."/>
    <s v="нед."/>
    <s v="Банк"/>
    <m/>
    <x v="1"/>
    <m/>
  </r>
  <r>
    <x v="7"/>
    <n v="329"/>
    <x v="38"/>
    <x v="35"/>
    <x v="1"/>
    <s v="шт."/>
    <s v="нед."/>
    <s v="Банк"/>
    <m/>
    <x v="1"/>
    <m/>
  </r>
  <r>
    <x v="8"/>
    <n v="310"/>
    <x v="38"/>
    <x v="35"/>
    <x v="1"/>
    <s v="шт."/>
    <s v="нед."/>
    <s v="Банк"/>
    <m/>
    <x v="1"/>
    <m/>
  </r>
  <r>
    <x v="9"/>
    <n v="412"/>
    <x v="38"/>
    <x v="35"/>
    <x v="1"/>
    <s v="шт."/>
    <s v="нед."/>
    <s v="Банк"/>
    <m/>
    <x v="1"/>
    <m/>
  </r>
  <r>
    <x v="10"/>
    <n v="215"/>
    <x v="38"/>
    <x v="35"/>
    <x v="1"/>
    <s v="шт."/>
    <s v="нед."/>
    <s v="Банк"/>
    <m/>
    <x v="1"/>
    <m/>
  </r>
  <r>
    <x v="11"/>
    <n v="349"/>
    <x v="38"/>
    <x v="35"/>
    <x v="1"/>
    <s v="шт."/>
    <s v="нед."/>
    <s v="Банк"/>
    <m/>
    <x v="1"/>
    <m/>
  </r>
  <r>
    <x v="12"/>
    <n v="345"/>
    <x v="38"/>
    <x v="35"/>
    <x v="1"/>
    <s v="шт."/>
    <s v="нед."/>
    <s v="Банк"/>
    <m/>
    <x v="1"/>
    <m/>
  </r>
  <r>
    <x v="13"/>
    <n v="422"/>
    <x v="38"/>
    <x v="35"/>
    <x v="1"/>
    <s v="шт."/>
    <s v="нед."/>
    <s v="Банк"/>
    <m/>
    <x v="1"/>
    <m/>
  </r>
  <r>
    <x v="14"/>
    <n v="261"/>
    <x v="38"/>
    <x v="35"/>
    <x v="1"/>
    <s v="шт."/>
    <s v="нед."/>
    <s v="Банк"/>
    <m/>
    <x v="1"/>
    <m/>
  </r>
  <r>
    <x v="15"/>
    <n v="560"/>
    <x v="38"/>
    <x v="35"/>
    <x v="1"/>
    <s v="шт."/>
    <s v="нед."/>
    <s v="Банк"/>
    <m/>
    <x v="1"/>
    <m/>
  </r>
  <r>
    <x v="16"/>
    <n v="879"/>
    <x v="38"/>
    <x v="35"/>
    <x v="1"/>
    <s v="шт."/>
    <s v="нед."/>
    <s v="Банк"/>
    <m/>
    <x v="1"/>
    <m/>
  </r>
  <r>
    <x v="17"/>
    <n v="897"/>
    <x v="38"/>
    <x v="35"/>
    <x v="1"/>
    <s v="шт."/>
    <s v="нед."/>
    <s v="Банк"/>
    <m/>
    <x v="1"/>
    <m/>
  </r>
  <r>
    <x v="18"/>
    <n v="738"/>
    <x v="38"/>
    <x v="35"/>
    <x v="1"/>
    <s v="шт."/>
    <s v="нед."/>
    <s v="Банк"/>
    <m/>
    <x v="1"/>
    <m/>
  </r>
  <r>
    <x v="19"/>
    <n v="598"/>
    <x v="38"/>
    <x v="35"/>
    <x v="1"/>
    <s v="шт."/>
    <s v="нед."/>
    <s v="Банк"/>
    <m/>
    <x v="1"/>
    <m/>
  </r>
  <r>
    <x v="20"/>
    <n v="601"/>
    <x v="38"/>
    <x v="35"/>
    <x v="1"/>
    <s v="шт."/>
    <s v="нед."/>
    <s v="Банк"/>
    <m/>
    <x v="1"/>
    <m/>
  </r>
  <r>
    <x v="21"/>
    <n v="430"/>
    <x v="38"/>
    <x v="35"/>
    <x v="1"/>
    <s v="шт."/>
    <s v="нед."/>
    <s v="Банк"/>
    <m/>
    <x v="1"/>
    <m/>
  </r>
  <r>
    <x v="22"/>
    <n v="560"/>
    <x v="38"/>
    <x v="35"/>
    <x v="1"/>
    <s v="шт."/>
    <s v="нед."/>
    <s v="Банк"/>
    <m/>
    <x v="1"/>
    <m/>
  </r>
  <r>
    <x v="23"/>
    <n v="454"/>
    <x v="38"/>
    <x v="35"/>
    <x v="1"/>
    <s v="шт."/>
    <s v="нед."/>
    <s v="Банк"/>
    <m/>
    <x v="1"/>
    <m/>
  </r>
  <r>
    <x v="24"/>
    <n v="314"/>
    <x v="38"/>
    <x v="35"/>
    <x v="1"/>
    <s v="шт."/>
    <s v="нед."/>
    <s v="Банк"/>
    <m/>
    <x v="1"/>
    <m/>
  </r>
  <r>
    <x v="25"/>
    <n v="336"/>
    <x v="38"/>
    <x v="35"/>
    <x v="1"/>
    <s v="шт."/>
    <s v="нед."/>
    <s v="Банк"/>
    <m/>
    <x v="1"/>
    <m/>
  </r>
  <r>
    <x v="26"/>
    <n v="419"/>
    <x v="38"/>
    <x v="35"/>
    <x v="1"/>
    <s v="шт."/>
    <s v="нед."/>
    <s v="Банк"/>
    <m/>
    <x v="1"/>
    <m/>
  </r>
  <r>
    <x v="27"/>
    <n v="499"/>
    <x v="38"/>
    <x v="35"/>
    <x v="1"/>
    <s v="шт."/>
    <s v="нед."/>
    <s v="Банк"/>
    <m/>
    <x v="1"/>
    <m/>
  </r>
  <r>
    <x v="28"/>
    <n v="503"/>
    <x v="38"/>
    <x v="35"/>
    <x v="1"/>
    <s v="шт."/>
    <s v="нед."/>
    <s v="Банк"/>
    <m/>
    <x v="1"/>
    <m/>
  </r>
  <r>
    <x v="29"/>
    <n v="342"/>
    <x v="38"/>
    <x v="35"/>
    <x v="1"/>
    <s v="шт."/>
    <s v="нед."/>
    <s v="Банк"/>
    <m/>
    <x v="1"/>
    <m/>
  </r>
  <r>
    <x v="30"/>
    <n v="378"/>
    <x v="38"/>
    <x v="35"/>
    <x v="1"/>
    <s v="шт."/>
    <s v="нед."/>
    <s v="Банк"/>
    <m/>
    <x v="1"/>
    <m/>
  </r>
  <r>
    <x v="0"/>
    <n v="188"/>
    <x v="39"/>
    <x v="36"/>
    <x v="1"/>
    <s v="шт."/>
    <s v="нед."/>
    <s v="Банк"/>
    <m/>
    <x v="1"/>
    <m/>
  </r>
  <r>
    <x v="1"/>
    <n v="229"/>
    <x v="39"/>
    <x v="36"/>
    <x v="1"/>
    <s v="шт."/>
    <s v="нед."/>
    <s v="Банк"/>
    <m/>
    <x v="1"/>
    <m/>
  </r>
  <r>
    <x v="2"/>
    <n v="340"/>
    <x v="39"/>
    <x v="36"/>
    <x v="1"/>
    <s v="шт."/>
    <s v="нед."/>
    <s v="Банк"/>
    <m/>
    <x v="1"/>
    <m/>
  </r>
  <r>
    <x v="3"/>
    <n v="283"/>
    <x v="39"/>
    <x v="36"/>
    <x v="1"/>
    <s v="шт."/>
    <s v="нед."/>
    <s v="Банк"/>
    <m/>
    <x v="1"/>
    <m/>
  </r>
  <r>
    <x v="4"/>
    <n v="359"/>
    <x v="39"/>
    <x v="36"/>
    <x v="1"/>
    <s v="шт."/>
    <s v="нед."/>
    <s v="Банк"/>
    <m/>
    <x v="1"/>
    <m/>
  </r>
  <r>
    <x v="5"/>
    <n v="282"/>
    <x v="39"/>
    <x v="36"/>
    <x v="1"/>
    <s v="шт."/>
    <s v="нед."/>
    <s v="Банк"/>
    <m/>
    <x v="1"/>
    <m/>
  </r>
  <r>
    <x v="7"/>
    <n v="369"/>
    <x v="39"/>
    <x v="36"/>
    <x v="1"/>
    <s v="шт."/>
    <s v="нед."/>
    <s v="Банк"/>
    <m/>
    <x v="1"/>
    <m/>
  </r>
  <r>
    <x v="8"/>
    <n v="369"/>
    <x v="39"/>
    <x v="36"/>
    <x v="1"/>
    <s v="шт."/>
    <s v="нед."/>
    <s v="Банк"/>
    <m/>
    <x v="1"/>
    <m/>
  </r>
  <r>
    <x v="9"/>
    <n v="407"/>
    <x v="39"/>
    <x v="36"/>
    <x v="1"/>
    <s v="шт."/>
    <s v="нед."/>
    <s v="Банк"/>
    <m/>
    <x v="1"/>
    <m/>
  </r>
  <r>
    <x v="10"/>
    <n v="262"/>
    <x v="39"/>
    <x v="36"/>
    <x v="1"/>
    <s v="шт."/>
    <s v="нед."/>
    <s v="Банк"/>
    <m/>
    <x v="1"/>
    <m/>
  </r>
  <r>
    <x v="11"/>
    <n v="360"/>
    <x v="39"/>
    <x v="36"/>
    <x v="1"/>
    <s v="шт."/>
    <s v="нед."/>
    <s v="Банк"/>
    <m/>
    <x v="1"/>
    <m/>
  </r>
  <r>
    <x v="12"/>
    <n v="348"/>
    <x v="39"/>
    <x v="36"/>
    <x v="1"/>
    <s v="шт."/>
    <s v="нед."/>
    <s v="Банк"/>
    <m/>
    <x v="1"/>
    <m/>
  </r>
  <r>
    <x v="13"/>
    <n v="375"/>
    <x v="39"/>
    <x v="36"/>
    <x v="1"/>
    <s v="шт."/>
    <s v="нед."/>
    <s v="Банк"/>
    <m/>
    <x v="1"/>
    <m/>
  </r>
  <r>
    <x v="14"/>
    <n v="281"/>
    <x v="39"/>
    <x v="36"/>
    <x v="1"/>
    <s v="шт."/>
    <s v="нед."/>
    <s v="Банк"/>
    <m/>
    <x v="1"/>
    <m/>
  </r>
  <r>
    <x v="15"/>
    <n v="390"/>
    <x v="39"/>
    <x v="36"/>
    <x v="1"/>
    <s v="шт."/>
    <s v="нед."/>
    <s v="Банк"/>
    <m/>
    <x v="1"/>
    <m/>
  </r>
  <r>
    <x v="16"/>
    <n v="418"/>
    <x v="39"/>
    <x v="36"/>
    <x v="1"/>
    <s v="шт."/>
    <s v="нед."/>
    <s v="Банк"/>
    <m/>
    <x v="1"/>
    <m/>
  </r>
  <r>
    <x v="17"/>
    <n v="504"/>
    <x v="39"/>
    <x v="36"/>
    <x v="1"/>
    <s v="шт."/>
    <s v="нед."/>
    <s v="Банк"/>
    <m/>
    <x v="1"/>
    <m/>
  </r>
  <r>
    <x v="18"/>
    <n v="390"/>
    <x v="39"/>
    <x v="36"/>
    <x v="1"/>
    <s v="шт."/>
    <s v="нед."/>
    <s v="Банк"/>
    <m/>
    <x v="1"/>
    <m/>
  </r>
  <r>
    <x v="19"/>
    <n v="397"/>
    <x v="39"/>
    <x v="36"/>
    <x v="1"/>
    <s v="шт."/>
    <s v="нед."/>
    <s v="Банк"/>
    <m/>
    <x v="1"/>
    <m/>
  </r>
  <r>
    <x v="20"/>
    <n v="382"/>
    <x v="39"/>
    <x v="36"/>
    <x v="1"/>
    <s v="шт."/>
    <s v="нед."/>
    <s v="Банк"/>
    <m/>
    <x v="1"/>
    <m/>
  </r>
  <r>
    <x v="21"/>
    <n v="297"/>
    <x v="39"/>
    <x v="36"/>
    <x v="1"/>
    <s v="шт."/>
    <s v="нед."/>
    <s v="Банк"/>
    <m/>
    <x v="1"/>
    <m/>
  </r>
  <r>
    <x v="22"/>
    <n v="383"/>
    <x v="39"/>
    <x v="36"/>
    <x v="1"/>
    <s v="шт."/>
    <s v="нед."/>
    <s v="Банк"/>
    <m/>
    <x v="1"/>
    <m/>
  </r>
  <r>
    <x v="23"/>
    <n v="296"/>
    <x v="39"/>
    <x v="36"/>
    <x v="1"/>
    <s v="шт."/>
    <s v="нед."/>
    <s v="Банк"/>
    <m/>
    <x v="1"/>
    <m/>
  </r>
  <r>
    <x v="24"/>
    <n v="208"/>
    <x v="39"/>
    <x v="36"/>
    <x v="1"/>
    <s v="шт."/>
    <s v="нед."/>
    <s v="Банк"/>
    <m/>
    <x v="1"/>
    <m/>
  </r>
  <r>
    <x v="25"/>
    <n v="175"/>
    <x v="39"/>
    <x v="36"/>
    <x v="1"/>
    <s v="шт."/>
    <s v="нед."/>
    <s v="Банк"/>
    <m/>
    <x v="1"/>
    <m/>
  </r>
  <r>
    <x v="26"/>
    <n v="250"/>
    <x v="39"/>
    <x v="36"/>
    <x v="1"/>
    <s v="шт."/>
    <s v="нед."/>
    <s v="Банк"/>
    <m/>
    <x v="1"/>
    <m/>
  </r>
  <r>
    <x v="27"/>
    <n v="217"/>
    <x v="39"/>
    <x v="36"/>
    <x v="1"/>
    <s v="шт."/>
    <s v="нед."/>
    <s v="Банк"/>
    <m/>
    <x v="1"/>
    <m/>
  </r>
  <r>
    <x v="28"/>
    <n v="306"/>
    <x v="39"/>
    <x v="36"/>
    <x v="1"/>
    <s v="шт."/>
    <s v="нед."/>
    <s v="Банк"/>
    <m/>
    <x v="1"/>
    <m/>
  </r>
  <r>
    <x v="29"/>
    <n v="208"/>
    <x v="39"/>
    <x v="36"/>
    <x v="1"/>
    <s v="шт."/>
    <s v="нед."/>
    <s v="Банк"/>
    <m/>
    <x v="1"/>
    <m/>
  </r>
  <r>
    <x v="30"/>
    <n v="242"/>
    <x v="39"/>
    <x v="36"/>
    <x v="1"/>
    <s v="шт."/>
    <s v="нед."/>
    <s v="Банк"/>
    <m/>
    <x v="1"/>
    <m/>
  </r>
  <r>
    <x v="2"/>
    <n v="86"/>
    <x v="40"/>
    <x v="37"/>
    <x v="2"/>
    <s v="шт."/>
    <s v="нед."/>
    <s v="Банк"/>
    <m/>
    <x v="0"/>
    <s v="Другое"/>
  </r>
  <r>
    <x v="2"/>
    <n v="124"/>
    <x v="40"/>
    <x v="37"/>
    <x v="2"/>
    <s v="шт."/>
    <s v="нед."/>
    <s v="Банк"/>
    <m/>
    <x v="0"/>
    <s v="Комментарии к выполненным мероприятиям"/>
  </r>
  <r>
    <x v="2"/>
    <n v="3"/>
    <x v="40"/>
    <x v="37"/>
    <x v="2"/>
    <s v="шт."/>
    <s v="нед."/>
    <s v="Банк"/>
    <m/>
    <x v="0"/>
    <s v="Обратная связь по интерфейсу"/>
  </r>
  <r>
    <x v="2"/>
    <n v="24"/>
    <x v="40"/>
    <x v="37"/>
    <x v="2"/>
    <s v="шт."/>
    <s v="нед."/>
    <s v="Банк"/>
    <m/>
    <x v="0"/>
    <s v="Обратная связь по предлагаемым действиям"/>
  </r>
  <r>
    <x v="2"/>
    <n v="78"/>
    <x v="40"/>
    <x v="37"/>
    <x v="2"/>
    <s v="шт."/>
    <s v="нед."/>
    <s v="Банк"/>
    <m/>
    <x v="0"/>
    <s v="Обратная связь по расчетам отклонения"/>
  </r>
  <r>
    <x v="2"/>
    <n v="250"/>
    <x v="40"/>
    <x v="37"/>
    <x v="2"/>
    <s v="шт."/>
    <s v="нед."/>
    <s v="Банк"/>
    <m/>
    <x v="0"/>
    <s v="Другое"/>
  </r>
  <r>
    <x v="2"/>
    <n v="155"/>
    <x v="40"/>
    <x v="37"/>
    <x v="2"/>
    <s v="шт."/>
    <s v="нед."/>
    <s v="Банк"/>
    <m/>
    <x v="0"/>
    <s v="Комментарии к выполненным мероприятиям"/>
  </r>
  <r>
    <x v="2"/>
    <n v="9"/>
    <x v="40"/>
    <x v="37"/>
    <x v="2"/>
    <s v="шт."/>
    <s v="нед."/>
    <s v="Банк"/>
    <m/>
    <x v="0"/>
    <s v="Обратная связь по интерфейсу"/>
  </r>
  <r>
    <x v="2"/>
    <n v="47"/>
    <x v="40"/>
    <x v="37"/>
    <x v="2"/>
    <s v="шт."/>
    <s v="нед."/>
    <s v="Банк"/>
    <m/>
    <x v="0"/>
    <s v="Обратная связь по предлагаемым действиям"/>
  </r>
  <r>
    <x v="2"/>
    <n v="148"/>
    <x v="40"/>
    <x v="37"/>
    <x v="2"/>
    <s v="шт."/>
    <s v="нед."/>
    <s v="Банк"/>
    <m/>
    <x v="0"/>
    <s v="Обратная связь по расчетам отклонения"/>
  </r>
  <r>
    <x v="3"/>
    <n v="331"/>
    <x v="40"/>
    <x v="37"/>
    <x v="2"/>
    <s v="шт."/>
    <s v="нед."/>
    <s v="Банк"/>
    <m/>
    <x v="0"/>
    <s v="Другое"/>
  </r>
  <r>
    <x v="3"/>
    <n v="340"/>
    <x v="40"/>
    <x v="37"/>
    <x v="2"/>
    <s v="шт."/>
    <s v="нед."/>
    <s v="Банк"/>
    <m/>
    <x v="0"/>
    <s v="Комментарии к выполненным мероприятиям"/>
  </r>
  <r>
    <x v="3"/>
    <n v="13"/>
    <x v="40"/>
    <x v="37"/>
    <x v="2"/>
    <s v="шт."/>
    <s v="нед."/>
    <s v="Банк"/>
    <m/>
    <x v="0"/>
    <s v="Обратная связь по интерфейсу"/>
  </r>
  <r>
    <x v="3"/>
    <n v="65"/>
    <x v="40"/>
    <x v="37"/>
    <x v="2"/>
    <s v="шт."/>
    <s v="нед."/>
    <s v="Банк"/>
    <m/>
    <x v="0"/>
    <s v="Обратная связь по предлагаемым действиям"/>
  </r>
  <r>
    <x v="3"/>
    <n v="238"/>
    <x v="40"/>
    <x v="37"/>
    <x v="2"/>
    <s v="шт."/>
    <s v="нед."/>
    <s v="Банк"/>
    <m/>
    <x v="0"/>
    <s v="Обратная связь по расчетам отклонения"/>
  </r>
  <r>
    <x v="4"/>
    <n v="276"/>
    <x v="40"/>
    <x v="37"/>
    <x v="2"/>
    <s v="шт."/>
    <s v="нед."/>
    <s v="Банк"/>
    <m/>
    <x v="0"/>
    <s v="Другое"/>
  </r>
  <r>
    <x v="4"/>
    <n v="314"/>
    <x v="40"/>
    <x v="37"/>
    <x v="2"/>
    <s v="шт."/>
    <s v="нед."/>
    <s v="Банк"/>
    <m/>
    <x v="0"/>
    <s v="Комментарии к выполненным мероприятиям"/>
  </r>
  <r>
    <x v="4"/>
    <n v="8"/>
    <x v="40"/>
    <x v="37"/>
    <x v="2"/>
    <s v="шт."/>
    <s v="нед."/>
    <s v="Банк"/>
    <m/>
    <x v="0"/>
    <s v="Обратная связь по интерфейсу"/>
  </r>
  <r>
    <x v="4"/>
    <n v="79"/>
    <x v="40"/>
    <x v="37"/>
    <x v="2"/>
    <s v="шт."/>
    <s v="нед."/>
    <s v="Банк"/>
    <m/>
    <x v="0"/>
    <s v="Обратная связь по предлагаемым действиям"/>
  </r>
  <r>
    <x v="4"/>
    <n v="220"/>
    <x v="40"/>
    <x v="37"/>
    <x v="2"/>
    <s v="шт."/>
    <s v="нед."/>
    <s v="Банк"/>
    <m/>
    <x v="0"/>
    <s v="Обратная связь по расчетам отклонения"/>
  </r>
  <r>
    <x v="5"/>
    <n v="292"/>
    <x v="40"/>
    <x v="37"/>
    <x v="2"/>
    <s v="шт."/>
    <s v="нед."/>
    <s v="Банк"/>
    <m/>
    <x v="0"/>
    <s v="Другое"/>
  </r>
  <r>
    <x v="5"/>
    <n v="297"/>
    <x v="40"/>
    <x v="37"/>
    <x v="2"/>
    <s v="шт."/>
    <s v="нед."/>
    <s v="Банк"/>
    <m/>
    <x v="0"/>
    <s v="Комментарии к выполненным мероприятиям"/>
  </r>
  <r>
    <x v="5"/>
    <n v="6"/>
    <x v="40"/>
    <x v="37"/>
    <x v="2"/>
    <s v="шт."/>
    <s v="нед."/>
    <s v="Банк"/>
    <m/>
    <x v="0"/>
    <s v="Обратная связь по интерфейсу"/>
  </r>
  <r>
    <x v="5"/>
    <n v="77"/>
    <x v="40"/>
    <x v="37"/>
    <x v="2"/>
    <s v="шт."/>
    <s v="нед."/>
    <s v="Банк"/>
    <m/>
    <x v="0"/>
    <s v="Обратная связь по предлагаемым действиям"/>
  </r>
  <r>
    <x v="5"/>
    <n v="182"/>
    <x v="40"/>
    <x v="37"/>
    <x v="2"/>
    <s v="шт."/>
    <s v="нед."/>
    <s v="Банк"/>
    <m/>
    <x v="0"/>
    <s v="Обратная связь по расчетам отклонения"/>
  </r>
  <r>
    <x v="6"/>
    <n v="239"/>
    <x v="40"/>
    <x v="37"/>
    <x v="2"/>
    <s v="шт."/>
    <s v="нед."/>
    <s v="Банк"/>
    <m/>
    <x v="0"/>
    <s v="Другое"/>
  </r>
  <r>
    <x v="6"/>
    <n v="230"/>
    <x v="40"/>
    <x v="37"/>
    <x v="2"/>
    <s v="шт."/>
    <s v="нед."/>
    <s v="Банк"/>
    <m/>
    <x v="0"/>
    <s v="Комментарии к выполненным мероприятиям"/>
  </r>
  <r>
    <x v="6"/>
    <n v="4"/>
    <x v="40"/>
    <x v="37"/>
    <x v="2"/>
    <s v="шт."/>
    <s v="нед."/>
    <s v="Банк"/>
    <m/>
    <x v="0"/>
    <s v="Обратная связь по интерфейсу"/>
  </r>
  <r>
    <x v="6"/>
    <n v="67"/>
    <x v="40"/>
    <x v="37"/>
    <x v="2"/>
    <s v="шт."/>
    <s v="нед."/>
    <s v="Банк"/>
    <m/>
    <x v="0"/>
    <s v="Обратная связь по предлагаемым действиям"/>
  </r>
  <r>
    <x v="6"/>
    <n v="148"/>
    <x v="40"/>
    <x v="37"/>
    <x v="2"/>
    <s v="шт."/>
    <s v="нед."/>
    <s v="Банк"/>
    <m/>
    <x v="0"/>
    <s v="Обратная связь по расчетам отклонения"/>
  </r>
  <r>
    <x v="7"/>
    <n v="238"/>
    <x v="40"/>
    <x v="37"/>
    <x v="2"/>
    <s v="шт."/>
    <s v="нед."/>
    <s v="Банк"/>
    <m/>
    <x v="0"/>
    <s v="Другое"/>
  </r>
  <r>
    <x v="7"/>
    <n v="223"/>
    <x v="40"/>
    <x v="37"/>
    <x v="2"/>
    <s v="шт."/>
    <s v="нед."/>
    <s v="Банк"/>
    <m/>
    <x v="0"/>
    <s v="Комментарии к выполненным мероприятиям"/>
  </r>
  <r>
    <x v="7"/>
    <n v="11"/>
    <x v="40"/>
    <x v="37"/>
    <x v="2"/>
    <s v="шт."/>
    <s v="нед."/>
    <s v="Банк"/>
    <m/>
    <x v="0"/>
    <s v="Обратная связь по интерфейсу"/>
  </r>
  <r>
    <x v="7"/>
    <n v="53"/>
    <x v="40"/>
    <x v="37"/>
    <x v="2"/>
    <s v="шт."/>
    <s v="нед."/>
    <s v="Банк"/>
    <m/>
    <x v="0"/>
    <s v="Обратная связь по предлагаемым действиям"/>
  </r>
  <r>
    <x v="7"/>
    <n v="158"/>
    <x v="40"/>
    <x v="37"/>
    <x v="2"/>
    <s v="шт."/>
    <s v="нед."/>
    <s v="Банк"/>
    <m/>
    <x v="0"/>
    <s v="Обратная связь по расчетам отклонения"/>
  </r>
  <r>
    <x v="8"/>
    <n v="278"/>
    <x v="40"/>
    <x v="37"/>
    <x v="2"/>
    <s v="шт."/>
    <s v="нед."/>
    <s v="Банк"/>
    <m/>
    <x v="0"/>
    <s v="Другое"/>
  </r>
  <r>
    <x v="8"/>
    <n v="279"/>
    <x v="40"/>
    <x v="37"/>
    <x v="2"/>
    <s v="шт."/>
    <s v="нед."/>
    <s v="Банк"/>
    <m/>
    <x v="0"/>
    <s v="Комментарии к выполненным мероприятиям"/>
  </r>
  <r>
    <x v="8"/>
    <n v="6"/>
    <x v="40"/>
    <x v="37"/>
    <x v="2"/>
    <s v="шт."/>
    <s v="нед."/>
    <s v="Банк"/>
    <m/>
    <x v="0"/>
    <s v="Обратная связь по интерфейсу"/>
  </r>
  <r>
    <x v="8"/>
    <n v="67"/>
    <x v="40"/>
    <x v="37"/>
    <x v="2"/>
    <s v="шт."/>
    <s v="нед."/>
    <s v="Банк"/>
    <m/>
    <x v="0"/>
    <s v="Обратная связь по предлагаемым действиям"/>
  </r>
  <r>
    <x v="8"/>
    <n v="176"/>
    <x v="40"/>
    <x v="37"/>
    <x v="2"/>
    <s v="шт."/>
    <s v="нед."/>
    <s v="Банк"/>
    <m/>
    <x v="0"/>
    <s v="Обратная связь по расчетам отклонения"/>
  </r>
  <r>
    <x v="9"/>
    <n v="218"/>
    <x v="40"/>
    <x v="37"/>
    <x v="2"/>
    <s v="шт."/>
    <s v="нед."/>
    <s v="Банк"/>
    <m/>
    <x v="0"/>
    <s v="Другое"/>
  </r>
  <r>
    <x v="9"/>
    <n v="216"/>
    <x v="40"/>
    <x v="37"/>
    <x v="2"/>
    <s v="шт."/>
    <s v="нед."/>
    <s v="Банк"/>
    <m/>
    <x v="0"/>
    <s v="Комментарии к выполненным мероприятиям"/>
  </r>
  <r>
    <x v="9"/>
    <n v="4"/>
    <x v="40"/>
    <x v="37"/>
    <x v="2"/>
    <s v="шт."/>
    <s v="нед."/>
    <s v="Банк"/>
    <m/>
    <x v="0"/>
    <s v="Обратная связь по интерфейсу"/>
  </r>
  <r>
    <x v="9"/>
    <n v="49"/>
    <x v="40"/>
    <x v="37"/>
    <x v="2"/>
    <s v="шт."/>
    <s v="нед."/>
    <s v="Банк"/>
    <m/>
    <x v="0"/>
    <s v="Обратная связь по предлагаемым действиям"/>
  </r>
  <r>
    <x v="9"/>
    <n v="147"/>
    <x v="40"/>
    <x v="37"/>
    <x v="2"/>
    <s v="шт."/>
    <s v="нед."/>
    <s v="Банк"/>
    <m/>
    <x v="0"/>
    <s v="Обратная связь по расчетам отклонения"/>
  </r>
  <r>
    <x v="10"/>
    <n v="206"/>
    <x v="40"/>
    <x v="37"/>
    <x v="2"/>
    <s v="шт."/>
    <s v="нед."/>
    <s v="Банк"/>
    <m/>
    <x v="0"/>
    <s v="Другое"/>
  </r>
  <r>
    <x v="10"/>
    <n v="211"/>
    <x v="40"/>
    <x v="37"/>
    <x v="2"/>
    <s v="шт."/>
    <s v="нед."/>
    <s v="Банк"/>
    <m/>
    <x v="0"/>
    <s v="Комментарии к выполненным мероприятиям"/>
  </r>
  <r>
    <x v="10"/>
    <n v="7"/>
    <x v="40"/>
    <x v="37"/>
    <x v="2"/>
    <s v="шт."/>
    <s v="нед."/>
    <s v="Банк"/>
    <m/>
    <x v="0"/>
    <s v="Обратная связь по интерфейсу"/>
  </r>
  <r>
    <x v="10"/>
    <n v="36"/>
    <x v="40"/>
    <x v="37"/>
    <x v="2"/>
    <s v="шт."/>
    <s v="нед."/>
    <s v="Банк"/>
    <m/>
    <x v="0"/>
    <s v="Обратная связь по предлагаемым действиям"/>
  </r>
  <r>
    <x v="10"/>
    <n v="144"/>
    <x v="40"/>
    <x v="37"/>
    <x v="2"/>
    <s v="шт."/>
    <s v="нед."/>
    <s v="Банк"/>
    <m/>
    <x v="0"/>
    <s v="Обратная связь по расчетам отклонения"/>
  </r>
  <r>
    <x v="11"/>
    <n v="292"/>
    <x v="40"/>
    <x v="37"/>
    <x v="2"/>
    <s v="шт."/>
    <s v="нед."/>
    <s v="Банк"/>
    <m/>
    <x v="0"/>
    <s v="Другое"/>
  </r>
  <r>
    <x v="11"/>
    <n v="226"/>
    <x v="40"/>
    <x v="37"/>
    <x v="2"/>
    <s v="шт."/>
    <s v="нед."/>
    <s v="Банк"/>
    <m/>
    <x v="0"/>
    <s v="Комментарии к выполненным мероприятиям"/>
  </r>
  <r>
    <x v="11"/>
    <n v="7"/>
    <x v="40"/>
    <x v="37"/>
    <x v="2"/>
    <s v="шт."/>
    <s v="нед."/>
    <s v="Банк"/>
    <m/>
    <x v="0"/>
    <s v="Обратная связь по интерфейсу"/>
  </r>
  <r>
    <x v="11"/>
    <n v="46"/>
    <x v="40"/>
    <x v="37"/>
    <x v="2"/>
    <s v="шт."/>
    <s v="нед."/>
    <s v="Банк"/>
    <m/>
    <x v="0"/>
    <s v="Обратная связь по предлагаемым действиям"/>
  </r>
  <r>
    <x v="11"/>
    <n v="243"/>
    <x v="40"/>
    <x v="37"/>
    <x v="2"/>
    <s v="шт."/>
    <s v="нед."/>
    <s v="Банк"/>
    <m/>
    <x v="0"/>
    <s v="Обратная связь по расчетам отклонения"/>
  </r>
  <r>
    <x v="12"/>
    <n v="2"/>
    <x v="40"/>
    <x v="37"/>
    <x v="2"/>
    <s v="шт."/>
    <s v="нед."/>
    <s v="Банк"/>
    <m/>
    <x v="0"/>
    <s v="ERROR"/>
  </r>
  <r>
    <x v="12"/>
    <n v="325"/>
    <x v="40"/>
    <x v="37"/>
    <x v="2"/>
    <s v="шт."/>
    <s v="нед."/>
    <s v="Банк"/>
    <m/>
    <x v="0"/>
    <s v="Другое"/>
  </r>
  <r>
    <x v="12"/>
    <n v="274"/>
    <x v="40"/>
    <x v="37"/>
    <x v="2"/>
    <s v="шт."/>
    <s v="нед."/>
    <s v="Банк"/>
    <m/>
    <x v="0"/>
    <s v="Комментарии к выполненным мероприятиям"/>
  </r>
  <r>
    <x v="12"/>
    <n v="13"/>
    <x v="40"/>
    <x v="37"/>
    <x v="2"/>
    <s v="шт."/>
    <s v="нед."/>
    <s v="Банк"/>
    <m/>
    <x v="0"/>
    <s v="Обратная связь по интерфейсу"/>
  </r>
  <r>
    <x v="12"/>
    <n v="82"/>
    <x v="40"/>
    <x v="37"/>
    <x v="2"/>
    <s v="шт."/>
    <s v="нед."/>
    <s v="Банк"/>
    <m/>
    <x v="0"/>
    <s v="Обратная связь по предлагаемым действиям"/>
  </r>
  <r>
    <x v="12"/>
    <n v="209"/>
    <x v="40"/>
    <x v="37"/>
    <x v="2"/>
    <s v="шт."/>
    <s v="нед."/>
    <s v="Банк"/>
    <m/>
    <x v="0"/>
    <s v="Обратная связь по расчетам отклонения"/>
  </r>
  <r>
    <x v="13"/>
    <n v="294"/>
    <x v="40"/>
    <x v="37"/>
    <x v="2"/>
    <s v="шт."/>
    <s v="нед."/>
    <s v="Банк"/>
    <m/>
    <x v="0"/>
    <s v="Другое"/>
  </r>
  <r>
    <x v="13"/>
    <n v="253"/>
    <x v="40"/>
    <x v="37"/>
    <x v="2"/>
    <s v="шт."/>
    <s v="нед."/>
    <s v="Банк"/>
    <m/>
    <x v="0"/>
    <s v="Комментарии к выполненным мероприятиям"/>
  </r>
  <r>
    <x v="13"/>
    <n v="7"/>
    <x v="40"/>
    <x v="37"/>
    <x v="2"/>
    <s v="шт."/>
    <s v="нед."/>
    <s v="Банк"/>
    <m/>
    <x v="0"/>
    <s v="Обратная связь по интерфейсу"/>
  </r>
  <r>
    <x v="13"/>
    <n v="55"/>
    <x v="40"/>
    <x v="37"/>
    <x v="2"/>
    <s v="шт."/>
    <s v="нед."/>
    <s v="Банк"/>
    <m/>
    <x v="0"/>
    <s v="Обратная связь по предлагаемым действиям"/>
  </r>
  <r>
    <x v="13"/>
    <n v="196"/>
    <x v="40"/>
    <x v="37"/>
    <x v="2"/>
    <s v="шт."/>
    <s v="нед."/>
    <s v="Банк"/>
    <m/>
    <x v="0"/>
    <s v="Обратная связь по расчетам отклонения"/>
  </r>
  <r>
    <x v="14"/>
    <n v="364"/>
    <x v="40"/>
    <x v="37"/>
    <x v="2"/>
    <s v="шт."/>
    <s v="нед."/>
    <s v="Банк"/>
    <m/>
    <x v="0"/>
    <s v="Другое"/>
  </r>
  <r>
    <x v="14"/>
    <n v="289"/>
    <x v="40"/>
    <x v="37"/>
    <x v="2"/>
    <s v="шт."/>
    <s v="нед."/>
    <s v="Банк"/>
    <m/>
    <x v="0"/>
    <s v="Комментарии к выполненным мероприятиям"/>
  </r>
  <r>
    <x v="14"/>
    <n v="16"/>
    <x v="40"/>
    <x v="37"/>
    <x v="2"/>
    <s v="шт."/>
    <s v="нед."/>
    <s v="Банк"/>
    <m/>
    <x v="0"/>
    <s v="Обратная связь по интерфейсу"/>
  </r>
  <r>
    <x v="14"/>
    <n v="93"/>
    <x v="40"/>
    <x v="37"/>
    <x v="2"/>
    <s v="шт."/>
    <s v="нед."/>
    <s v="Банк"/>
    <m/>
    <x v="0"/>
    <s v="Обратная связь по предлагаемым действиям"/>
  </r>
  <r>
    <x v="14"/>
    <n v="225"/>
    <x v="40"/>
    <x v="37"/>
    <x v="2"/>
    <s v="шт."/>
    <s v="нед."/>
    <s v="Банк"/>
    <m/>
    <x v="0"/>
    <s v="Обратная связь по расчетам отклонения"/>
  </r>
  <r>
    <x v="15"/>
    <n v="259"/>
    <x v="40"/>
    <x v="37"/>
    <x v="2"/>
    <s v="шт."/>
    <s v="нед."/>
    <s v="Банк"/>
    <m/>
    <x v="0"/>
    <s v="Другое"/>
  </r>
  <r>
    <x v="15"/>
    <n v="229"/>
    <x v="40"/>
    <x v="37"/>
    <x v="2"/>
    <s v="шт."/>
    <s v="нед."/>
    <s v="Банк"/>
    <m/>
    <x v="0"/>
    <s v="Комментарии к выполненным мероприятиям"/>
  </r>
  <r>
    <x v="15"/>
    <n v="7"/>
    <x v="40"/>
    <x v="37"/>
    <x v="2"/>
    <s v="шт."/>
    <s v="нед."/>
    <s v="Банк"/>
    <m/>
    <x v="0"/>
    <s v="Обратная связь по интерфейсу"/>
  </r>
  <r>
    <x v="15"/>
    <n v="53"/>
    <x v="40"/>
    <x v="37"/>
    <x v="2"/>
    <s v="шт."/>
    <s v="нед."/>
    <s v="Банк"/>
    <m/>
    <x v="0"/>
    <s v="Обратная связь по предлагаемым действиям"/>
  </r>
  <r>
    <x v="15"/>
    <n v="154"/>
    <x v="40"/>
    <x v="37"/>
    <x v="2"/>
    <s v="шт."/>
    <s v="нед."/>
    <s v="Банк"/>
    <m/>
    <x v="0"/>
    <s v="Обратная связь по расчетам отклонения"/>
  </r>
  <r>
    <x v="16"/>
    <n v="350"/>
    <x v="40"/>
    <x v="37"/>
    <x v="2"/>
    <s v="шт."/>
    <s v="нед."/>
    <s v="Банк"/>
    <m/>
    <x v="0"/>
    <s v="Другое"/>
  </r>
  <r>
    <x v="16"/>
    <n v="365"/>
    <x v="40"/>
    <x v="37"/>
    <x v="2"/>
    <s v="шт."/>
    <s v="нед."/>
    <s v="Банк"/>
    <m/>
    <x v="0"/>
    <s v="Комментарии к выполненным мероприятиям"/>
  </r>
  <r>
    <x v="16"/>
    <n v="6"/>
    <x v="40"/>
    <x v="37"/>
    <x v="2"/>
    <s v="шт."/>
    <s v="нед."/>
    <s v="Банк"/>
    <m/>
    <x v="0"/>
    <s v="Обратная связь по интерфейсу"/>
  </r>
  <r>
    <x v="16"/>
    <n v="100"/>
    <x v="40"/>
    <x v="37"/>
    <x v="2"/>
    <s v="шт."/>
    <s v="нед."/>
    <s v="Банк"/>
    <m/>
    <x v="0"/>
    <s v="Обратная связь по предлагаемым действиям"/>
  </r>
  <r>
    <x v="16"/>
    <n v="216"/>
    <x v="40"/>
    <x v="37"/>
    <x v="2"/>
    <s v="шт."/>
    <s v="нед."/>
    <s v="Банк"/>
    <m/>
    <x v="0"/>
    <s v="Обратная связь по расчетам отклонения"/>
  </r>
  <r>
    <x v="17"/>
    <n v="2"/>
    <x v="40"/>
    <x v="37"/>
    <x v="2"/>
    <s v="шт."/>
    <s v="нед."/>
    <s v="Банк"/>
    <m/>
    <x v="0"/>
    <s v="ERROR"/>
  </r>
  <r>
    <x v="17"/>
    <n v="557"/>
    <x v="40"/>
    <x v="37"/>
    <x v="2"/>
    <s v="шт."/>
    <s v="нед."/>
    <s v="Банк"/>
    <m/>
    <x v="0"/>
    <s v="Другое"/>
  </r>
  <r>
    <x v="17"/>
    <n v="532"/>
    <x v="40"/>
    <x v="37"/>
    <x v="2"/>
    <s v="шт."/>
    <s v="нед."/>
    <s v="Банк"/>
    <m/>
    <x v="0"/>
    <s v="Комментарии к выполненным мероприятиям"/>
  </r>
  <r>
    <x v="17"/>
    <n v="11"/>
    <x v="40"/>
    <x v="37"/>
    <x v="2"/>
    <s v="шт."/>
    <s v="нед."/>
    <s v="Банк"/>
    <m/>
    <x v="0"/>
    <s v="Обратная связь по интерфейсу"/>
  </r>
  <r>
    <x v="17"/>
    <n v="103"/>
    <x v="40"/>
    <x v="37"/>
    <x v="2"/>
    <s v="шт."/>
    <s v="нед."/>
    <s v="Банк"/>
    <m/>
    <x v="0"/>
    <s v="Обратная связь по предлагаемым действиям"/>
  </r>
  <r>
    <x v="17"/>
    <n v="341"/>
    <x v="40"/>
    <x v="37"/>
    <x v="2"/>
    <s v="шт."/>
    <s v="нед."/>
    <s v="Банк"/>
    <m/>
    <x v="0"/>
    <s v="Обратная связь по расчетам отклонения"/>
  </r>
  <r>
    <x v="18"/>
    <n v="119"/>
    <x v="40"/>
    <x v="37"/>
    <x v="2"/>
    <s v="шт."/>
    <s v="нед."/>
    <s v="Банк"/>
    <m/>
    <x v="0"/>
    <s v="Другое"/>
  </r>
  <r>
    <x v="18"/>
    <n v="72"/>
    <x v="40"/>
    <x v="37"/>
    <x v="2"/>
    <s v="шт."/>
    <s v="нед."/>
    <s v="Банк"/>
    <m/>
    <x v="0"/>
    <s v="Комментарии к выполненным мероприятиям"/>
  </r>
  <r>
    <x v="18"/>
    <n v="1"/>
    <x v="40"/>
    <x v="37"/>
    <x v="2"/>
    <s v="шт."/>
    <s v="нед."/>
    <s v="Банк"/>
    <m/>
    <x v="0"/>
    <s v="Обратная связь по интерфейсу"/>
  </r>
  <r>
    <x v="18"/>
    <n v="5"/>
    <x v="40"/>
    <x v="37"/>
    <x v="2"/>
    <s v="шт."/>
    <s v="нед."/>
    <s v="Банк"/>
    <m/>
    <x v="0"/>
    <s v="Обратная связь по предлагаемым действиям"/>
  </r>
  <r>
    <x v="18"/>
    <n v="56"/>
    <x v="40"/>
    <x v="37"/>
    <x v="2"/>
    <s v="шт."/>
    <s v="нед."/>
    <s v="Банк"/>
    <m/>
    <x v="0"/>
    <s v="Обратная связь по расчетам отклонения"/>
  </r>
  <r>
    <x v="19"/>
    <n v="655"/>
    <x v="40"/>
    <x v="37"/>
    <x v="2"/>
    <s v="шт."/>
    <s v="нед."/>
    <s v="Банк"/>
    <m/>
    <x v="0"/>
    <s v="Другое"/>
  </r>
  <r>
    <x v="19"/>
    <n v="431"/>
    <x v="40"/>
    <x v="37"/>
    <x v="2"/>
    <s v="шт."/>
    <s v="нед."/>
    <s v="Банк"/>
    <m/>
    <x v="0"/>
    <s v="Комментарии к выполненным мероприятиям"/>
  </r>
  <r>
    <x v="19"/>
    <n v="10"/>
    <x v="40"/>
    <x v="37"/>
    <x v="2"/>
    <s v="шт."/>
    <s v="нед."/>
    <s v="Банк"/>
    <m/>
    <x v="0"/>
    <s v="Обратная связь по интерфейсу"/>
  </r>
  <r>
    <x v="19"/>
    <n v="108"/>
    <x v="40"/>
    <x v="37"/>
    <x v="2"/>
    <s v="шт."/>
    <s v="нед."/>
    <s v="Банк"/>
    <m/>
    <x v="0"/>
    <s v="Обратная связь по предлагаемым действиям"/>
  </r>
  <r>
    <x v="19"/>
    <n v="404"/>
    <x v="40"/>
    <x v="37"/>
    <x v="2"/>
    <s v="шт."/>
    <s v="нед."/>
    <s v="Банк"/>
    <m/>
    <x v="0"/>
    <s v="Обратная связь по расчетам отклонения"/>
  </r>
  <r>
    <x v="20"/>
    <n v="1"/>
    <x v="40"/>
    <x v="37"/>
    <x v="2"/>
    <s v="шт."/>
    <s v="нед."/>
    <s v="Банк"/>
    <m/>
    <x v="0"/>
    <s v="ERROR"/>
  </r>
  <r>
    <x v="20"/>
    <n v="544"/>
    <x v="40"/>
    <x v="37"/>
    <x v="2"/>
    <s v="шт."/>
    <s v="нед."/>
    <s v="Банк"/>
    <m/>
    <x v="0"/>
    <s v="Другое"/>
  </r>
  <r>
    <x v="20"/>
    <n v="424"/>
    <x v="40"/>
    <x v="37"/>
    <x v="2"/>
    <s v="шт."/>
    <s v="нед."/>
    <s v="Банк"/>
    <m/>
    <x v="0"/>
    <s v="Комментарии к выполненным мероприятиям"/>
  </r>
  <r>
    <x v="20"/>
    <n v="13"/>
    <x v="40"/>
    <x v="37"/>
    <x v="2"/>
    <s v="шт."/>
    <s v="нед."/>
    <s v="Банк"/>
    <m/>
    <x v="0"/>
    <s v="Обратная связь по интерфейсу"/>
  </r>
  <r>
    <x v="20"/>
    <n v="88"/>
    <x v="40"/>
    <x v="37"/>
    <x v="2"/>
    <s v="шт."/>
    <s v="нед."/>
    <s v="Банк"/>
    <m/>
    <x v="0"/>
    <s v="Обратная связь по предлагаемым действиям"/>
  </r>
  <r>
    <x v="20"/>
    <n v="294"/>
    <x v="40"/>
    <x v="37"/>
    <x v="2"/>
    <s v="шт."/>
    <s v="нед."/>
    <s v="Банк"/>
    <m/>
    <x v="0"/>
    <s v="Обратная связь по расчетам отклонения"/>
  </r>
  <r>
    <x v="21"/>
    <n v="611"/>
    <x v="40"/>
    <x v="37"/>
    <x v="2"/>
    <s v="шт."/>
    <s v="нед."/>
    <s v="Банк"/>
    <m/>
    <x v="0"/>
    <s v="Другое"/>
  </r>
  <r>
    <x v="21"/>
    <n v="411"/>
    <x v="40"/>
    <x v="37"/>
    <x v="2"/>
    <s v="шт."/>
    <s v="нед."/>
    <s v="Банк"/>
    <m/>
    <x v="0"/>
    <s v="Комментарии к выполненным мероприятиям"/>
  </r>
  <r>
    <x v="21"/>
    <n v="11"/>
    <x v="40"/>
    <x v="37"/>
    <x v="2"/>
    <s v="шт."/>
    <s v="нед."/>
    <s v="Банк"/>
    <m/>
    <x v="0"/>
    <s v="Обратная связь по интерфейсу"/>
  </r>
  <r>
    <x v="21"/>
    <n v="77"/>
    <x v="40"/>
    <x v="37"/>
    <x v="2"/>
    <s v="шт."/>
    <s v="нед."/>
    <s v="Банк"/>
    <m/>
    <x v="0"/>
    <s v="Обратная связь по предлагаемым действиям"/>
  </r>
  <r>
    <x v="21"/>
    <n v="284"/>
    <x v="40"/>
    <x v="37"/>
    <x v="2"/>
    <s v="шт."/>
    <s v="нед."/>
    <s v="Банк"/>
    <m/>
    <x v="0"/>
    <s v="Обратная связь по расчетам отклонения"/>
  </r>
  <r>
    <x v="22"/>
    <n v="497"/>
    <x v="40"/>
    <x v="37"/>
    <x v="2"/>
    <s v="шт."/>
    <s v="нед."/>
    <s v="Банк"/>
    <m/>
    <x v="0"/>
    <s v="Другое"/>
  </r>
  <r>
    <x v="22"/>
    <n v="347"/>
    <x v="40"/>
    <x v="37"/>
    <x v="2"/>
    <s v="шт."/>
    <s v="нед."/>
    <s v="Банк"/>
    <m/>
    <x v="0"/>
    <s v="Комментарии к выполненным мероприятиям"/>
  </r>
  <r>
    <x v="22"/>
    <n v="10"/>
    <x v="40"/>
    <x v="37"/>
    <x v="2"/>
    <s v="шт."/>
    <s v="нед."/>
    <s v="Банк"/>
    <m/>
    <x v="0"/>
    <s v="Обратная связь по интерфейсу"/>
  </r>
  <r>
    <x v="22"/>
    <n v="66"/>
    <x v="40"/>
    <x v="37"/>
    <x v="2"/>
    <s v="шт."/>
    <s v="нед."/>
    <s v="Банк"/>
    <m/>
    <x v="0"/>
    <s v="Обратная связь по предлагаемым действиям"/>
  </r>
  <r>
    <x v="22"/>
    <n v="265"/>
    <x v="40"/>
    <x v="37"/>
    <x v="2"/>
    <s v="шт."/>
    <s v="нед."/>
    <s v="Банк"/>
    <m/>
    <x v="0"/>
    <s v="Обратная связь по расчетам отклонения"/>
  </r>
  <r>
    <x v="23"/>
    <n v="434"/>
    <x v="40"/>
    <x v="37"/>
    <x v="2"/>
    <s v="шт."/>
    <s v="нед."/>
    <s v="Банк"/>
    <m/>
    <x v="0"/>
    <s v="Другое"/>
  </r>
  <r>
    <x v="23"/>
    <n v="384"/>
    <x v="40"/>
    <x v="37"/>
    <x v="2"/>
    <s v="шт."/>
    <s v="нед."/>
    <s v="Банк"/>
    <m/>
    <x v="0"/>
    <s v="Комментарии к выполненным мероприятиям"/>
  </r>
  <r>
    <x v="23"/>
    <n v="11"/>
    <x v="40"/>
    <x v="37"/>
    <x v="2"/>
    <s v="шт."/>
    <s v="нед."/>
    <s v="Банк"/>
    <m/>
    <x v="0"/>
    <s v="Обратная связь по интерфейсу"/>
  </r>
  <r>
    <x v="23"/>
    <n v="89"/>
    <x v="40"/>
    <x v="37"/>
    <x v="2"/>
    <s v="шт."/>
    <s v="нед."/>
    <s v="Банк"/>
    <m/>
    <x v="0"/>
    <s v="Обратная связь по предлагаемым действиям"/>
  </r>
  <r>
    <x v="23"/>
    <n v="246"/>
    <x v="40"/>
    <x v="37"/>
    <x v="2"/>
    <s v="шт."/>
    <s v="нед."/>
    <s v="Банк"/>
    <m/>
    <x v="0"/>
    <s v="Обратная связь по расчетам отклонения"/>
  </r>
  <r>
    <x v="24"/>
    <n v="369"/>
    <x v="40"/>
    <x v="37"/>
    <x v="2"/>
    <s v="шт."/>
    <s v="нед."/>
    <s v="Банк"/>
    <m/>
    <x v="0"/>
    <s v="Другое"/>
  </r>
  <r>
    <x v="24"/>
    <n v="340"/>
    <x v="40"/>
    <x v="37"/>
    <x v="2"/>
    <s v="шт."/>
    <s v="нед."/>
    <s v="Банк"/>
    <m/>
    <x v="0"/>
    <s v="Комментарии к выполненным мероприятиям"/>
  </r>
  <r>
    <x v="24"/>
    <n v="13"/>
    <x v="40"/>
    <x v="37"/>
    <x v="2"/>
    <s v="шт."/>
    <s v="нед."/>
    <s v="Банк"/>
    <m/>
    <x v="0"/>
    <s v="Обратная связь по интерфейсу"/>
  </r>
  <r>
    <x v="24"/>
    <n v="52"/>
    <x v="40"/>
    <x v="37"/>
    <x v="2"/>
    <s v="шт."/>
    <s v="нед."/>
    <s v="Банк"/>
    <m/>
    <x v="0"/>
    <s v="Обратная связь по предлагаемым действиям"/>
  </r>
  <r>
    <x v="24"/>
    <n v="245"/>
    <x v="40"/>
    <x v="37"/>
    <x v="2"/>
    <s v="шт."/>
    <s v="нед."/>
    <s v="Банк"/>
    <m/>
    <x v="0"/>
    <s v="Обратная связь по расчетам отклонения"/>
  </r>
  <r>
    <x v="25"/>
    <n v="385"/>
    <x v="40"/>
    <x v="37"/>
    <x v="2"/>
    <s v="шт."/>
    <s v="нед."/>
    <s v="Банк"/>
    <m/>
    <x v="0"/>
    <s v="Другое"/>
  </r>
  <r>
    <x v="25"/>
    <n v="322"/>
    <x v="40"/>
    <x v="37"/>
    <x v="2"/>
    <s v="шт."/>
    <s v="нед."/>
    <s v="Банк"/>
    <m/>
    <x v="0"/>
    <s v="Комментарии к выполненным мероприятиям"/>
  </r>
  <r>
    <x v="25"/>
    <n v="8"/>
    <x v="40"/>
    <x v="37"/>
    <x v="2"/>
    <s v="шт."/>
    <s v="нед."/>
    <s v="Банк"/>
    <m/>
    <x v="0"/>
    <s v="Обратная связь по интерфейсу"/>
  </r>
  <r>
    <x v="25"/>
    <n v="54"/>
    <x v="40"/>
    <x v="37"/>
    <x v="2"/>
    <s v="шт."/>
    <s v="нед."/>
    <s v="Банк"/>
    <m/>
    <x v="0"/>
    <s v="Обратная связь по предлагаемым действиям"/>
  </r>
  <r>
    <x v="25"/>
    <n v="255"/>
    <x v="40"/>
    <x v="37"/>
    <x v="2"/>
    <s v="шт."/>
    <s v="нед."/>
    <s v="Банк"/>
    <m/>
    <x v="0"/>
    <s v="Обратная связь по расчетам отклонения"/>
  </r>
  <r>
    <x v="26"/>
    <n v="337"/>
    <x v="40"/>
    <x v="37"/>
    <x v="2"/>
    <s v="шт."/>
    <s v="нед."/>
    <s v="Банк"/>
    <m/>
    <x v="0"/>
    <s v="Другое"/>
  </r>
  <r>
    <x v="26"/>
    <n v="272"/>
    <x v="40"/>
    <x v="37"/>
    <x v="2"/>
    <s v="шт."/>
    <s v="нед."/>
    <s v="Банк"/>
    <m/>
    <x v="0"/>
    <s v="Комментарии к выполненным мероприятиям"/>
  </r>
  <r>
    <x v="26"/>
    <n v="11"/>
    <x v="40"/>
    <x v="37"/>
    <x v="2"/>
    <s v="шт."/>
    <s v="нед."/>
    <s v="Банк"/>
    <m/>
    <x v="0"/>
    <s v="Обратная связь по интерфейсу"/>
  </r>
  <r>
    <x v="26"/>
    <n v="44"/>
    <x v="40"/>
    <x v="37"/>
    <x v="2"/>
    <s v="шт."/>
    <s v="нед."/>
    <s v="Банк"/>
    <m/>
    <x v="0"/>
    <s v="Обратная связь по предлагаемым действиям"/>
  </r>
  <r>
    <x v="26"/>
    <n v="194"/>
    <x v="40"/>
    <x v="37"/>
    <x v="2"/>
    <s v="шт."/>
    <s v="нед."/>
    <s v="Банк"/>
    <m/>
    <x v="0"/>
    <s v="Обратная связь по расчетам отклонения"/>
  </r>
  <r>
    <x v="27"/>
    <n v="1"/>
    <x v="40"/>
    <x v="37"/>
    <x v="2"/>
    <s v="шт."/>
    <s v="нед."/>
    <s v="Банк"/>
    <m/>
    <x v="0"/>
    <s v="ERROR"/>
  </r>
  <r>
    <x v="27"/>
    <n v="351"/>
    <x v="40"/>
    <x v="37"/>
    <x v="2"/>
    <s v="шт."/>
    <s v="нед."/>
    <s v="Банк"/>
    <m/>
    <x v="0"/>
    <s v="Другое"/>
  </r>
  <r>
    <x v="27"/>
    <n v="377"/>
    <x v="40"/>
    <x v="37"/>
    <x v="2"/>
    <s v="шт."/>
    <s v="нед."/>
    <s v="Банк"/>
    <m/>
    <x v="0"/>
    <s v="Комментарии к выполненным мероприятиям"/>
  </r>
  <r>
    <x v="27"/>
    <n v="15"/>
    <x v="40"/>
    <x v="37"/>
    <x v="2"/>
    <s v="шт."/>
    <s v="нед."/>
    <s v="Банк"/>
    <m/>
    <x v="0"/>
    <s v="Обратная связь по интерфейсу"/>
  </r>
  <r>
    <x v="27"/>
    <n v="77"/>
    <x v="40"/>
    <x v="37"/>
    <x v="2"/>
    <s v="шт."/>
    <s v="нед."/>
    <s v="Банк"/>
    <m/>
    <x v="0"/>
    <s v="Обратная связь по предлагаемым действиям"/>
  </r>
  <r>
    <x v="27"/>
    <n v="181"/>
    <x v="40"/>
    <x v="37"/>
    <x v="2"/>
    <s v="шт."/>
    <s v="нед."/>
    <s v="Банк"/>
    <m/>
    <x v="0"/>
    <s v="Обратная связь по расчетам отклонения"/>
  </r>
  <r>
    <x v="28"/>
    <n v="343"/>
    <x v="40"/>
    <x v="37"/>
    <x v="2"/>
    <s v="шт."/>
    <s v="нед."/>
    <s v="Банк"/>
    <m/>
    <x v="0"/>
    <s v="Другое"/>
  </r>
  <r>
    <x v="28"/>
    <n v="323"/>
    <x v="40"/>
    <x v="37"/>
    <x v="2"/>
    <s v="шт."/>
    <s v="нед."/>
    <s v="Банк"/>
    <m/>
    <x v="0"/>
    <s v="Комментарии к выполненным мероприятиям"/>
  </r>
  <r>
    <x v="28"/>
    <n v="8"/>
    <x v="40"/>
    <x v="37"/>
    <x v="2"/>
    <s v="шт."/>
    <s v="нед."/>
    <s v="Банк"/>
    <m/>
    <x v="0"/>
    <s v="Обратная связь по интерфейсу"/>
  </r>
  <r>
    <x v="28"/>
    <n v="51"/>
    <x v="40"/>
    <x v="37"/>
    <x v="2"/>
    <s v="шт."/>
    <s v="нед."/>
    <s v="Банк"/>
    <m/>
    <x v="0"/>
    <s v="Обратная связь по предлагаемым действиям"/>
  </r>
  <r>
    <x v="28"/>
    <n v="178"/>
    <x v="40"/>
    <x v="37"/>
    <x v="2"/>
    <s v="шт."/>
    <s v="нед."/>
    <s v="Банк"/>
    <m/>
    <x v="0"/>
    <s v="Обратная связь по расчетам отклонения"/>
  </r>
  <r>
    <x v="29"/>
    <n v="333"/>
    <x v="40"/>
    <x v="37"/>
    <x v="2"/>
    <s v="шт."/>
    <s v="нед."/>
    <s v="Банк"/>
    <m/>
    <x v="0"/>
    <s v="Другое"/>
  </r>
  <r>
    <x v="29"/>
    <n v="347"/>
    <x v="40"/>
    <x v="37"/>
    <x v="2"/>
    <s v="шт."/>
    <s v="нед."/>
    <s v="Банк"/>
    <m/>
    <x v="0"/>
    <s v="Комментарии к выполненным мероприятиям"/>
  </r>
  <r>
    <x v="29"/>
    <n v="8"/>
    <x v="40"/>
    <x v="37"/>
    <x v="2"/>
    <s v="шт."/>
    <s v="нед."/>
    <s v="Банк"/>
    <m/>
    <x v="0"/>
    <s v="Обратная связь по интерфейсу"/>
  </r>
  <r>
    <x v="29"/>
    <n v="65"/>
    <x v="40"/>
    <x v="37"/>
    <x v="2"/>
    <s v="шт."/>
    <s v="нед."/>
    <s v="Банк"/>
    <m/>
    <x v="0"/>
    <s v="Обратная связь по предлагаемым действиям"/>
  </r>
  <r>
    <x v="29"/>
    <n v="175"/>
    <x v="40"/>
    <x v="37"/>
    <x v="2"/>
    <s v="шт."/>
    <s v="нед."/>
    <s v="Банк"/>
    <m/>
    <x v="0"/>
    <s v="Обратная связь по расчетам отклонения"/>
  </r>
  <r>
    <x v="30"/>
    <n v="274"/>
    <x v="40"/>
    <x v="37"/>
    <x v="2"/>
    <s v="шт."/>
    <s v="нед."/>
    <s v="Банк"/>
    <m/>
    <x v="0"/>
    <s v="Другое"/>
  </r>
  <r>
    <x v="30"/>
    <n v="235"/>
    <x v="40"/>
    <x v="37"/>
    <x v="2"/>
    <s v="шт."/>
    <s v="нед."/>
    <s v="Банк"/>
    <m/>
    <x v="0"/>
    <s v="Комментарии к выполненным мероприятиям"/>
  </r>
  <r>
    <x v="30"/>
    <n v="10"/>
    <x v="40"/>
    <x v="37"/>
    <x v="2"/>
    <s v="шт."/>
    <s v="нед."/>
    <s v="Банк"/>
    <m/>
    <x v="0"/>
    <s v="Обратная связь по интерфейсу"/>
  </r>
  <r>
    <x v="30"/>
    <n v="47"/>
    <x v="40"/>
    <x v="37"/>
    <x v="2"/>
    <s v="шт."/>
    <s v="нед."/>
    <s v="Банк"/>
    <m/>
    <x v="0"/>
    <s v="Обратная связь по предлагаемым действиям"/>
  </r>
  <r>
    <x v="30"/>
    <n v="131"/>
    <x v="40"/>
    <x v="37"/>
    <x v="2"/>
    <s v="шт."/>
    <s v="нед."/>
    <s v="Банк"/>
    <m/>
    <x v="0"/>
    <s v="Обратная связь по расчетам отклонения"/>
  </r>
  <r>
    <x v="2"/>
    <n v="16"/>
    <x v="41"/>
    <x v="37"/>
    <x v="1"/>
    <s v="шт."/>
    <s v="нед."/>
    <s v="Банк"/>
    <m/>
    <x v="1"/>
    <s v="Другое"/>
  </r>
  <r>
    <x v="2"/>
    <n v="27"/>
    <x v="41"/>
    <x v="37"/>
    <x v="1"/>
    <s v="шт."/>
    <s v="нед."/>
    <s v="Банк"/>
    <m/>
    <x v="1"/>
    <s v="Низкая доля операций, подписанных с использованием БМО"/>
  </r>
  <r>
    <x v="2"/>
    <n v="3"/>
    <x v="41"/>
    <x v="37"/>
    <x v="1"/>
    <s v="шт."/>
    <s v="нед."/>
    <s v="Банк"/>
    <m/>
    <x v="1"/>
    <s v="Обратная связь по предлагаемым действиям"/>
  </r>
  <r>
    <x v="2"/>
    <n v="13"/>
    <x v="41"/>
    <x v="37"/>
    <x v="1"/>
    <s v="шт."/>
    <s v="нед."/>
    <s v="Банк"/>
    <m/>
    <x v="1"/>
    <s v="Обратная связь по расчетам отклонения"/>
  </r>
  <r>
    <x v="2"/>
    <n v="51"/>
    <x v="41"/>
    <x v="37"/>
    <x v="1"/>
    <s v="шт."/>
    <s v="нед."/>
    <s v="Банк"/>
    <m/>
    <x v="1"/>
    <s v="Другое"/>
  </r>
  <r>
    <x v="2"/>
    <n v="31"/>
    <x v="41"/>
    <x v="37"/>
    <x v="1"/>
    <s v="шт."/>
    <s v="нед."/>
    <s v="Банк"/>
    <m/>
    <x v="1"/>
    <s v="Комментарии к выполненным мероприятиям"/>
  </r>
  <r>
    <x v="2"/>
    <n v="10"/>
    <x v="41"/>
    <x v="37"/>
    <x v="1"/>
    <s v="шт."/>
    <s v="нед."/>
    <s v="Банк"/>
    <m/>
    <x v="1"/>
    <s v="Обратная связь по предлагаемым действиям"/>
  </r>
  <r>
    <x v="2"/>
    <n v="27"/>
    <x v="41"/>
    <x v="37"/>
    <x v="1"/>
    <s v="шт."/>
    <s v="нед."/>
    <s v="Банк"/>
    <m/>
    <x v="1"/>
    <s v="Обратная связь по расчетам отклонения"/>
  </r>
  <r>
    <x v="3"/>
    <n v="115"/>
    <x v="41"/>
    <x v="37"/>
    <x v="1"/>
    <s v="шт."/>
    <s v="нед."/>
    <s v="Банк"/>
    <m/>
    <x v="1"/>
    <s v="Другое"/>
  </r>
  <r>
    <x v="3"/>
    <n v="97"/>
    <x v="41"/>
    <x v="37"/>
    <x v="1"/>
    <s v="шт."/>
    <s v="нед."/>
    <s v="Банк"/>
    <m/>
    <x v="1"/>
    <s v="Комментарии к выполненным мероприятиям"/>
  </r>
  <r>
    <x v="3"/>
    <n v="20"/>
    <x v="41"/>
    <x v="37"/>
    <x v="1"/>
    <s v="шт."/>
    <s v="нед."/>
    <s v="Банк"/>
    <m/>
    <x v="1"/>
    <s v="Обратная связь по предлагаемым действиям"/>
  </r>
  <r>
    <x v="3"/>
    <n v="70"/>
    <x v="41"/>
    <x v="37"/>
    <x v="1"/>
    <s v="шт."/>
    <s v="нед."/>
    <s v="Банк"/>
    <m/>
    <x v="1"/>
    <s v="Обратная связь по расчетам отклонения"/>
  </r>
  <r>
    <x v="4"/>
    <n v="74"/>
    <x v="41"/>
    <x v="37"/>
    <x v="1"/>
    <s v="шт."/>
    <s v="нед."/>
    <s v="Банк"/>
    <m/>
    <x v="1"/>
    <s v="Другое"/>
  </r>
  <r>
    <x v="4"/>
    <n v="75"/>
    <x v="41"/>
    <x v="37"/>
    <x v="1"/>
    <s v="шт."/>
    <s v="нед."/>
    <s v="Банк"/>
    <m/>
    <x v="1"/>
    <s v="Комментарии к выполненным мероприятиям"/>
  </r>
  <r>
    <x v="4"/>
    <n v="1"/>
    <x v="41"/>
    <x v="37"/>
    <x v="1"/>
    <s v="шт."/>
    <s v="нед."/>
    <s v="Банк"/>
    <m/>
    <x v="1"/>
    <s v="Обратная связь по интерфейсу"/>
  </r>
  <r>
    <x v="4"/>
    <n v="24"/>
    <x v="41"/>
    <x v="37"/>
    <x v="1"/>
    <s v="шт."/>
    <s v="нед."/>
    <s v="Банк"/>
    <m/>
    <x v="1"/>
    <s v="Обратная связь по предлагаемым действиям"/>
  </r>
  <r>
    <x v="4"/>
    <n v="38"/>
    <x v="41"/>
    <x v="37"/>
    <x v="1"/>
    <s v="шт."/>
    <s v="нед."/>
    <s v="Банк"/>
    <m/>
    <x v="1"/>
    <s v="Обратная связь по расчетам отклонения"/>
  </r>
  <r>
    <x v="5"/>
    <n v="88"/>
    <x v="41"/>
    <x v="37"/>
    <x v="1"/>
    <s v="шт."/>
    <s v="нед."/>
    <s v="Банк"/>
    <m/>
    <x v="1"/>
    <s v="Другое"/>
  </r>
  <r>
    <x v="5"/>
    <n v="91"/>
    <x v="41"/>
    <x v="37"/>
    <x v="1"/>
    <s v="шт."/>
    <s v="нед."/>
    <s v="Банк"/>
    <m/>
    <x v="1"/>
    <s v="Комментарии к выполненным мероприятиям"/>
  </r>
  <r>
    <x v="5"/>
    <n v="34"/>
    <x v="41"/>
    <x v="37"/>
    <x v="1"/>
    <s v="шт."/>
    <s v="нед."/>
    <s v="Банк"/>
    <m/>
    <x v="1"/>
    <s v="Обратная связь по предлагаемым действиям"/>
  </r>
  <r>
    <x v="5"/>
    <n v="50"/>
    <x v="41"/>
    <x v="37"/>
    <x v="1"/>
    <s v="шт."/>
    <s v="нед."/>
    <s v="Банк"/>
    <m/>
    <x v="1"/>
    <s v="Обратная связь по расчетам отклонения"/>
  </r>
  <r>
    <x v="6"/>
    <n v="70"/>
    <x v="41"/>
    <x v="37"/>
    <x v="1"/>
    <s v="шт."/>
    <s v="нед."/>
    <s v="Банк"/>
    <m/>
    <x v="1"/>
    <s v="Другое"/>
  </r>
  <r>
    <x v="6"/>
    <n v="61"/>
    <x v="41"/>
    <x v="37"/>
    <x v="1"/>
    <s v="шт."/>
    <s v="нед."/>
    <s v="Банк"/>
    <m/>
    <x v="1"/>
    <s v="Комментарии к выполненным мероприятиям"/>
  </r>
  <r>
    <x v="6"/>
    <n v="1"/>
    <x v="41"/>
    <x v="37"/>
    <x v="1"/>
    <s v="шт."/>
    <s v="нед."/>
    <s v="Банк"/>
    <m/>
    <x v="1"/>
    <s v="Обратная связь по интерфейсу"/>
  </r>
  <r>
    <x v="6"/>
    <n v="16"/>
    <x v="41"/>
    <x v="37"/>
    <x v="1"/>
    <s v="шт."/>
    <s v="нед."/>
    <s v="Банк"/>
    <m/>
    <x v="1"/>
    <s v="Обратная связь по предлагаемым действиям"/>
  </r>
  <r>
    <x v="6"/>
    <n v="31"/>
    <x v="41"/>
    <x v="37"/>
    <x v="1"/>
    <s v="шт."/>
    <s v="нед."/>
    <s v="Банк"/>
    <m/>
    <x v="1"/>
    <s v="Обратная связь по расчетам отклонения"/>
  </r>
  <r>
    <x v="7"/>
    <n v="78"/>
    <x v="41"/>
    <x v="37"/>
    <x v="1"/>
    <s v="шт."/>
    <s v="нед."/>
    <s v="Банк"/>
    <m/>
    <x v="1"/>
    <s v="Другое"/>
  </r>
  <r>
    <x v="7"/>
    <n v="69"/>
    <x v="41"/>
    <x v="37"/>
    <x v="1"/>
    <s v="шт."/>
    <s v="нед."/>
    <s v="Банк"/>
    <m/>
    <x v="1"/>
    <s v="Комментарии к выполненным мероприятиям"/>
  </r>
  <r>
    <x v="7"/>
    <n v="7"/>
    <x v="41"/>
    <x v="37"/>
    <x v="1"/>
    <s v="шт."/>
    <s v="нед."/>
    <s v="Банк"/>
    <m/>
    <x v="1"/>
    <s v="Обратная связь по интерфейсу"/>
  </r>
  <r>
    <x v="7"/>
    <n v="14"/>
    <x v="41"/>
    <x v="37"/>
    <x v="1"/>
    <s v="шт."/>
    <s v="нед."/>
    <s v="Банк"/>
    <m/>
    <x v="1"/>
    <s v="Обратная связь по предлагаемым действиям"/>
  </r>
  <r>
    <x v="7"/>
    <n v="36"/>
    <x v="41"/>
    <x v="37"/>
    <x v="1"/>
    <s v="шт."/>
    <s v="нед."/>
    <s v="Банк"/>
    <m/>
    <x v="1"/>
    <s v="Обратная связь по расчетам отклонения"/>
  </r>
  <r>
    <x v="8"/>
    <n v="85"/>
    <x v="41"/>
    <x v="37"/>
    <x v="1"/>
    <s v="шт."/>
    <s v="нед."/>
    <s v="Банк"/>
    <m/>
    <x v="1"/>
    <s v="Другое"/>
  </r>
  <r>
    <x v="8"/>
    <n v="92"/>
    <x v="41"/>
    <x v="37"/>
    <x v="1"/>
    <s v="шт."/>
    <s v="нед."/>
    <s v="Банк"/>
    <m/>
    <x v="1"/>
    <s v="Комментарии к выполненным мероприятиям"/>
  </r>
  <r>
    <x v="8"/>
    <n v="2"/>
    <x v="41"/>
    <x v="37"/>
    <x v="1"/>
    <s v="шт."/>
    <s v="нед."/>
    <s v="Банк"/>
    <m/>
    <x v="1"/>
    <s v="Обратная связь по интерфейсу"/>
  </r>
  <r>
    <x v="8"/>
    <n v="23"/>
    <x v="41"/>
    <x v="37"/>
    <x v="1"/>
    <s v="шт."/>
    <s v="нед."/>
    <s v="Банк"/>
    <m/>
    <x v="1"/>
    <s v="Обратная связь по предлагаемым действиям"/>
  </r>
  <r>
    <x v="8"/>
    <n v="47"/>
    <x v="41"/>
    <x v="37"/>
    <x v="1"/>
    <s v="шт."/>
    <s v="нед."/>
    <s v="Банк"/>
    <m/>
    <x v="1"/>
    <s v="Обратная связь по расчетам отклонения"/>
  </r>
  <r>
    <x v="9"/>
    <n v="63"/>
    <x v="41"/>
    <x v="37"/>
    <x v="1"/>
    <s v="шт."/>
    <s v="нед."/>
    <s v="Банк"/>
    <m/>
    <x v="1"/>
    <s v="Другое"/>
  </r>
  <r>
    <x v="9"/>
    <n v="59"/>
    <x v="41"/>
    <x v="37"/>
    <x v="1"/>
    <s v="шт."/>
    <s v="нед."/>
    <s v="Банк"/>
    <m/>
    <x v="1"/>
    <s v="Комментарии к выполненным мероприятиям"/>
  </r>
  <r>
    <x v="9"/>
    <n v="1"/>
    <x v="41"/>
    <x v="37"/>
    <x v="1"/>
    <s v="шт."/>
    <s v="нед."/>
    <s v="Банк"/>
    <m/>
    <x v="1"/>
    <s v="Обратная связь по интерфейсу"/>
  </r>
  <r>
    <x v="9"/>
    <n v="19"/>
    <x v="41"/>
    <x v="37"/>
    <x v="1"/>
    <s v="шт."/>
    <s v="нед."/>
    <s v="Банк"/>
    <m/>
    <x v="1"/>
    <s v="Обратная связь по предлагаемым действиям"/>
  </r>
  <r>
    <x v="9"/>
    <n v="34"/>
    <x v="41"/>
    <x v="37"/>
    <x v="1"/>
    <s v="шт."/>
    <s v="нед."/>
    <s v="Банк"/>
    <m/>
    <x v="1"/>
    <s v="Обратная связь по расчетам отклонения"/>
  </r>
  <r>
    <x v="10"/>
    <n v="62"/>
    <x v="41"/>
    <x v="37"/>
    <x v="1"/>
    <s v="шт."/>
    <s v="нед."/>
    <s v="Банк"/>
    <m/>
    <x v="1"/>
    <s v="Другое"/>
  </r>
  <r>
    <x v="10"/>
    <n v="66"/>
    <x v="41"/>
    <x v="37"/>
    <x v="1"/>
    <s v="шт."/>
    <s v="нед."/>
    <s v="Банк"/>
    <m/>
    <x v="1"/>
    <s v="Комментарии к выполненным мероприятиям"/>
  </r>
  <r>
    <x v="10"/>
    <n v="2"/>
    <x v="41"/>
    <x v="37"/>
    <x v="1"/>
    <s v="шт."/>
    <s v="нед."/>
    <s v="Банк"/>
    <m/>
    <x v="1"/>
    <s v="Обратная связь по интерфейсу"/>
  </r>
  <r>
    <x v="10"/>
    <n v="15"/>
    <x v="41"/>
    <x v="37"/>
    <x v="1"/>
    <s v="шт."/>
    <s v="нед."/>
    <s v="Банк"/>
    <m/>
    <x v="1"/>
    <s v="Обратная связь по предлагаемым действиям"/>
  </r>
  <r>
    <x v="10"/>
    <n v="38"/>
    <x v="41"/>
    <x v="37"/>
    <x v="1"/>
    <s v="шт."/>
    <s v="нед."/>
    <s v="Банк"/>
    <m/>
    <x v="1"/>
    <s v="Обратная связь по расчетам отклонения"/>
  </r>
  <r>
    <x v="11"/>
    <n v="53"/>
    <x v="41"/>
    <x v="37"/>
    <x v="1"/>
    <s v="шт."/>
    <s v="нед."/>
    <s v="Банк"/>
    <m/>
    <x v="1"/>
    <s v="Другое"/>
  </r>
  <r>
    <x v="11"/>
    <n v="47"/>
    <x v="41"/>
    <x v="37"/>
    <x v="1"/>
    <s v="шт."/>
    <s v="нед."/>
    <s v="Банк"/>
    <m/>
    <x v="1"/>
    <s v="Комментарии к выполненным мероприятиям"/>
  </r>
  <r>
    <x v="11"/>
    <n v="3"/>
    <x v="41"/>
    <x v="37"/>
    <x v="1"/>
    <s v="шт."/>
    <s v="нед."/>
    <s v="Банк"/>
    <m/>
    <x v="1"/>
    <s v="Обратная связь по интерфейсу"/>
  </r>
  <r>
    <x v="11"/>
    <n v="11"/>
    <x v="41"/>
    <x v="37"/>
    <x v="1"/>
    <s v="шт."/>
    <s v="нед."/>
    <s v="Банк"/>
    <m/>
    <x v="1"/>
    <s v="Обратная связь по предлагаемым действиям"/>
  </r>
  <r>
    <x v="11"/>
    <n v="28"/>
    <x v="41"/>
    <x v="37"/>
    <x v="1"/>
    <s v="шт."/>
    <s v="нед."/>
    <s v="Банк"/>
    <m/>
    <x v="1"/>
    <s v="Обратная связь по расчетам отклонения"/>
  </r>
  <r>
    <x v="12"/>
    <n v="1"/>
    <x v="41"/>
    <x v="37"/>
    <x v="1"/>
    <s v="шт."/>
    <s v="нед."/>
    <s v="Банк"/>
    <m/>
    <x v="1"/>
    <s v="ERROR"/>
  </r>
  <r>
    <x v="12"/>
    <n v="106"/>
    <x v="41"/>
    <x v="37"/>
    <x v="1"/>
    <s v="шт."/>
    <s v="нед."/>
    <s v="Банк"/>
    <m/>
    <x v="1"/>
    <s v="Другое"/>
  </r>
  <r>
    <x v="12"/>
    <n v="84"/>
    <x v="41"/>
    <x v="37"/>
    <x v="1"/>
    <s v="шт."/>
    <s v="нед."/>
    <s v="Банк"/>
    <m/>
    <x v="1"/>
    <s v="Комментарии к выполненным мероприятиям"/>
  </r>
  <r>
    <x v="12"/>
    <n v="5"/>
    <x v="41"/>
    <x v="37"/>
    <x v="1"/>
    <s v="шт."/>
    <s v="нед."/>
    <s v="Банк"/>
    <m/>
    <x v="1"/>
    <s v="Обратная связь по интерфейсу"/>
  </r>
  <r>
    <x v="12"/>
    <n v="31"/>
    <x v="41"/>
    <x v="37"/>
    <x v="1"/>
    <s v="шт."/>
    <s v="нед."/>
    <s v="Банк"/>
    <m/>
    <x v="1"/>
    <s v="Обратная связь по предлагаемым действиям"/>
  </r>
  <r>
    <x v="12"/>
    <n v="45"/>
    <x v="41"/>
    <x v="37"/>
    <x v="1"/>
    <s v="шт."/>
    <s v="нед."/>
    <s v="Банк"/>
    <m/>
    <x v="1"/>
    <s v="Обратная связь по расчетам отклонения"/>
  </r>
  <r>
    <x v="13"/>
    <n v="84"/>
    <x v="41"/>
    <x v="37"/>
    <x v="1"/>
    <s v="шт."/>
    <s v="нед."/>
    <s v="Банк"/>
    <m/>
    <x v="1"/>
    <s v="Другое"/>
  </r>
  <r>
    <x v="13"/>
    <n v="75"/>
    <x v="41"/>
    <x v="37"/>
    <x v="1"/>
    <s v="шт."/>
    <s v="нед."/>
    <s v="Банк"/>
    <m/>
    <x v="1"/>
    <s v="Комментарии к выполненным мероприятиям"/>
  </r>
  <r>
    <x v="13"/>
    <n v="4"/>
    <x v="41"/>
    <x v="37"/>
    <x v="1"/>
    <s v="шт."/>
    <s v="нед."/>
    <s v="Банк"/>
    <m/>
    <x v="1"/>
    <s v="Обратная связь по интерфейсу"/>
  </r>
  <r>
    <x v="13"/>
    <n v="15"/>
    <x v="41"/>
    <x v="37"/>
    <x v="1"/>
    <s v="шт."/>
    <s v="нед."/>
    <s v="Банк"/>
    <m/>
    <x v="1"/>
    <s v="Обратная связь по предлагаемым действиям"/>
  </r>
  <r>
    <x v="13"/>
    <n v="57"/>
    <x v="41"/>
    <x v="37"/>
    <x v="1"/>
    <s v="шт."/>
    <s v="нед."/>
    <s v="Банк"/>
    <m/>
    <x v="1"/>
    <s v="Обратная связь по расчетам отклонения"/>
  </r>
  <r>
    <x v="14"/>
    <n v="130"/>
    <x v="41"/>
    <x v="37"/>
    <x v="1"/>
    <s v="шт."/>
    <s v="нед."/>
    <s v="Банк"/>
    <m/>
    <x v="1"/>
    <s v="Другое"/>
  </r>
  <r>
    <x v="14"/>
    <n v="101"/>
    <x v="41"/>
    <x v="37"/>
    <x v="1"/>
    <s v="шт."/>
    <s v="нед."/>
    <s v="Банк"/>
    <m/>
    <x v="1"/>
    <s v="Комментарии к выполненным мероприятиям"/>
  </r>
  <r>
    <x v="14"/>
    <n v="6"/>
    <x v="41"/>
    <x v="37"/>
    <x v="1"/>
    <s v="шт."/>
    <s v="нед."/>
    <s v="Банк"/>
    <m/>
    <x v="1"/>
    <s v="Обратная связь по интерфейсу"/>
  </r>
  <r>
    <x v="14"/>
    <n v="37"/>
    <x v="41"/>
    <x v="37"/>
    <x v="1"/>
    <s v="шт."/>
    <s v="нед."/>
    <s v="Банк"/>
    <m/>
    <x v="1"/>
    <s v="Обратная связь по предлагаемым действиям"/>
  </r>
  <r>
    <x v="14"/>
    <n v="56"/>
    <x v="41"/>
    <x v="37"/>
    <x v="1"/>
    <s v="шт."/>
    <s v="нед."/>
    <s v="Банк"/>
    <m/>
    <x v="1"/>
    <s v="Обратная связь по расчетам отклонения"/>
  </r>
  <r>
    <x v="15"/>
    <n v="81"/>
    <x v="41"/>
    <x v="37"/>
    <x v="1"/>
    <s v="шт."/>
    <s v="нед."/>
    <s v="Банк"/>
    <m/>
    <x v="1"/>
    <s v="Другое"/>
  </r>
  <r>
    <x v="15"/>
    <n v="81"/>
    <x v="41"/>
    <x v="37"/>
    <x v="1"/>
    <s v="шт."/>
    <s v="нед."/>
    <s v="Банк"/>
    <m/>
    <x v="1"/>
    <s v="Комментарии к выполненным мероприятиям"/>
  </r>
  <r>
    <x v="15"/>
    <n v="2"/>
    <x v="41"/>
    <x v="37"/>
    <x v="1"/>
    <s v="шт."/>
    <s v="нед."/>
    <s v="Банк"/>
    <m/>
    <x v="1"/>
    <s v="Обратная связь по интерфейсу"/>
  </r>
  <r>
    <x v="15"/>
    <n v="17"/>
    <x v="41"/>
    <x v="37"/>
    <x v="1"/>
    <s v="шт."/>
    <s v="нед."/>
    <s v="Банк"/>
    <m/>
    <x v="1"/>
    <s v="Обратная связь по предлагаемым действиям"/>
  </r>
  <r>
    <x v="15"/>
    <n v="48"/>
    <x v="41"/>
    <x v="37"/>
    <x v="1"/>
    <s v="шт."/>
    <s v="нед."/>
    <s v="Банк"/>
    <m/>
    <x v="1"/>
    <s v="Обратная связь по расчетам отклонения"/>
  </r>
  <r>
    <x v="16"/>
    <n v="160"/>
    <x v="41"/>
    <x v="37"/>
    <x v="1"/>
    <s v="шт."/>
    <s v="нед."/>
    <s v="Банк"/>
    <m/>
    <x v="1"/>
    <s v="Другое"/>
  </r>
  <r>
    <x v="16"/>
    <n v="187"/>
    <x v="41"/>
    <x v="37"/>
    <x v="1"/>
    <s v="шт."/>
    <s v="нед."/>
    <s v="Банк"/>
    <m/>
    <x v="1"/>
    <s v="Комментарии к выполненным мероприятиям"/>
  </r>
  <r>
    <x v="16"/>
    <n v="5"/>
    <x v="41"/>
    <x v="37"/>
    <x v="1"/>
    <s v="шт."/>
    <s v="нед."/>
    <s v="Банк"/>
    <m/>
    <x v="1"/>
    <s v="Обратная связь по интерфейсу"/>
  </r>
  <r>
    <x v="16"/>
    <n v="55"/>
    <x v="41"/>
    <x v="37"/>
    <x v="1"/>
    <s v="шт."/>
    <s v="нед."/>
    <s v="Банк"/>
    <m/>
    <x v="1"/>
    <s v="Обратная связь по предлагаемым действиям"/>
  </r>
  <r>
    <x v="16"/>
    <n v="92"/>
    <x v="41"/>
    <x v="37"/>
    <x v="1"/>
    <s v="шт."/>
    <s v="нед."/>
    <s v="Банк"/>
    <m/>
    <x v="1"/>
    <s v="Обратная связь по расчетам отклонения"/>
  </r>
  <r>
    <x v="17"/>
    <n v="1"/>
    <x v="41"/>
    <x v="37"/>
    <x v="1"/>
    <s v="шт."/>
    <s v="нед."/>
    <s v="Банк"/>
    <m/>
    <x v="1"/>
    <s v="ERROR"/>
  </r>
  <r>
    <x v="17"/>
    <n v="239"/>
    <x v="41"/>
    <x v="37"/>
    <x v="1"/>
    <s v="шт."/>
    <s v="нед."/>
    <s v="Банк"/>
    <m/>
    <x v="1"/>
    <s v="Другое"/>
  </r>
  <r>
    <x v="17"/>
    <n v="231"/>
    <x v="41"/>
    <x v="37"/>
    <x v="1"/>
    <s v="шт."/>
    <s v="нед."/>
    <s v="Банк"/>
    <m/>
    <x v="1"/>
    <s v="Комментарии к выполненным мероприятиям"/>
  </r>
  <r>
    <x v="17"/>
    <n v="5"/>
    <x v="41"/>
    <x v="37"/>
    <x v="1"/>
    <s v="шт."/>
    <s v="нед."/>
    <s v="Банк"/>
    <m/>
    <x v="1"/>
    <s v="Обратная связь по интерфейсу"/>
  </r>
  <r>
    <x v="17"/>
    <n v="49"/>
    <x v="41"/>
    <x v="37"/>
    <x v="1"/>
    <s v="шт."/>
    <s v="нед."/>
    <s v="Банк"/>
    <m/>
    <x v="1"/>
    <s v="Обратная связь по предлагаемым действиям"/>
  </r>
  <r>
    <x v="17"/>
    <n v="145"/>
    <x v="41"/>
    <x v="37"/>
    <x v="1"/>
    <s v="шт."/>
    <s v="нед."/>
    <s v="Банк"/>
    <m/>
    <x v="1"/>
    <s v="Обратная связь по расчетам отклонения"/>
  </r>
  <r>
    <x v="18"/>
    <n v="47"/>
    <x v="41"/>
    <x v="37"/>
    <x v="1"/>
    <s v="шт."/>
    <s v="нед."/>
    <s v="Банк"/>
    <m/>
    <x v="1"/>
    <s v="Другое"/>
  </r>
  <r>
    <x v="18"/>
    <n v="38"/>
    <x v="41"/>
    <x v="37"/>
    <x v="1"/>
    <s v="шт."/>
    <s v="нед."/>
    <s v="Банк"/>
    <m/>
    <x v="1"/>
    <s v="Комментарии к выполненным мероприятиям"/>
  </r>
  <r>
    <x v="18"/>
    <n v="2"/>
    <x v="41"/>
    <x v="37"/>
    <x v="1"/>
    <s v="шт."/>
    <s v="нед."/>
    <s v="Банк"/>
    <m/>
    <x v="1"/>
    <s v="Обратная связь по предлагаемым действиям"/>
  </r>
  <r>
    <x v="18"/>
    <n v="22"/>
    <x v="41"/>
    <x v="37"/>
    <x v="1"/>
    <s v="шт."/>
    <s v="нед."/>
    <s v="Банк"/>
    <m/>
    <x v="1"/>
    <s v="Обратная связь по расчетам отклонения"/>
  </r>
  <r>
    <x v="19"/>
    <n v="273"/>
    <x v="41"/>
    <x v="37"/>
    <x v="1"/>
    <s v="шт."/>
    <s v="нед."/>
    <s v="Банк"/>
    <m/>
    <x v="1"/>
    <s v="Другое"/>
  </r>
  <r>
    <x v="19"/>
    <n v="165"/>
    <x v="41"/>
    <x v="37"/>
    <x v="1"/>
    <s v="шт."/>
    <s v="нед."/>
    <s v="Банк"/>
    <m/>
    <x v="1"/>
    <s v="Комментарии к выполненным мероприятиям"/>
  </r>
  <r>
    <x v="19"/>
    <n v="5"/>
    <x v="41"/>
    <x v="37"/>
    <x v="1"/>
    <s v="шт."/>
    <s v="нед."/>
    <s v="Банк"/>
    <m/>
    <x v="1"/>
    <s v="Обратная связь по интерфейсу"/>
  </r>
  <r>
    <x v="19"/>
    <n v="48"/>
    <x v="41"/>
    <x v="37"/>
    <x v="1"/>
    <s v="шт."/>
    <s v="нед."/>
    <s v="Банк"/>
    <m/>
    <x v="1"/>
    <s v="Обратная связь по предлагаемым действиям"/>
  </r>
  <r>
    <x v="19"/>
    <n v="149"/>
    <x v="41"/>
    <x v="37"/>
    <x v="1"/>
    <s v="шт."/>
    <s v="нед."/>
    <s v="Банк"/>
    <m/>
    <x v="1"/>
    <s v="Обратная связь по расчетам отклонения"/>
  </r>
  <r>
    <x v="20"/>
    <n v="1"/>
    <x v="41"/>
    <x v="37"/>
    <x v="1"/>
    <s v="шт."/>
    <s v="нед."/>
    <s v="Банк"/>
    <m/>
    <x v="1"/>
    <s v="ERROR"/>
  </r>
  <r>
    <x v="20"/>
    <n v="223"/>
    <x v="41"/>
    <x v="37"/>
    <x v="1"/>
    <s v="шт."/>
    <s v="нед."/>
    <s v="Банк"/>
    <m/>
    <x v="1"/>
    <s v="Другое"/>
  </r>
  <r>
    <x v="20"/>
    <n v="144"/>
    <x v="41"/>
    <x v="37"/>
    <x v="1"/>
    <s v="шт."/>
    <s v="нед."/>
    <s v="Банк"/>
    <m/>
    <x v="1"/>
    <s v="Комментарии к выполненным мероприятиям"/>
  </r>
  <r>
    <x v="20"/>
    <n v="8"/>
    <x v="41"/>
    <x v="37"/>
    <x v="1"/>
    <s v="шт."/>
    <s v="нед."/>
    <s v="Банк"/>
    <m/>
    <x v="1"/>
    <s v="Обратная связь по интерфейсу"/>
  </r>
  <r>
    <x v="20"/>
    <n v="38"/>
    <x v="41"/>
    <x v="37"/>
    <x v="1"/>
    <s v="шт."/>
    <s v="нед."/>
    <s v="Банк"/>
    <m/>
    <x v="1"/>
    <s v="Обратная связь по предлагаемым действиям"/>
  </r>
  <r>
    <x v="20"/>
    <n v="126"/>
    <x v="41"/>
    <x v="37"/>
    <x v="1"/>
    <s v="шт."/>
    <s v="нед."/>
    <s v="Банк"/>
    <m/>
    <x v="1"/>
    <s v="Обратная связь по расчетам отклонения"/>
  </r>
  <r>
    <x v="21"/>
    <n v="242"/>
    <x v="41"/>
    <x v="37"/>
    <x v="1"/>
    <s v="шт."/>
    <s v="нед."/>
    <s v="Банк"/>
    <m/>
    <x v="1"/>
    <s v="Другое"/>
  </r>
  <r>
    <x v="21"/>
    <n v="147"/>
    <x v="41"/>
    <x v="37"/>
    <x v="1"/>
    <s v="шт."/>
    <s v="нед."/>
    <s v="Банк"/>
    <m/>
    <x v="1"/>
    <s v="Комментарии к выполненным мероприятиям"/>
  </r>
  <r>
    <x v="21"/>
    <n v="3"/>
    <x v="41"/>
    <x v="37"/>
    <x v="1"/>
    <s v="шт."/>
    <s v="нед."/>
    <s v="Банк"/>
    <m/>
    <x v="1"/>
    <s v="Обратная связь по интерфейсу"/>
  </r>
  <r>
    <x v="21"/>
    <n v="29"/>
    <x v="41"/>
    <x v="37"/>
    <x v="1"/>
    <s v="шт."/>
    <s v="нед."/>
    <s v="Банк"/>
    <m/>
    <x v="1"/>
    <s v="Обратная связь по предлагаемым действиям"/>
  </r>
  <r>
    <x v="21"/>
    <n v="95"/>
    <x v="41"/>
    <x v="37"/>
    <x v="1"/>
    <s v="шт."/>
    <s v="нед."/>
    <s v="Банк"/>
    <m/>
    <x v="1"/>
    <s v="Обратная связь по расчетам отклонения"/>
  </r>
  <r>
    <x v="22"/>
    <n v="157"/>
    <x v="41"/>
    <x v="37"/>
    <x v="1"/>
    <s v="шт."/>
    <s v="нед."/>
    <s v="Банк"/>
    <m/>
    <x v="1"/>
    <s v="Другое"/>
  </r>
  <r>
    <x v="22"/>
    <n v="117"/>
    <x v="41"/>
    <x v="37"/>
    <x v="1"/>
    <s v="шт."/>
    <s v="нед."/>
    <s v="Банк"/>
    <m/>
    <x v="1"/>
    <s v="Комментарии к выполненным мероприятиям"/>
  </r>
  <r>
    <x v="22"/>
    <n v="2"/>
    <x v="41"/>
    <x v="37"/>
    <x v="1"/>
    <s v="шт."/>
    <s v="нед."/>
    <s v="Банк"/>
    <m/>
    <x v="1"/>
    <s v="Обратная связь по интерфейсу"/>
  </r>
  <r>
    <x v="22"/>
    <n v="24"/>
    <x v="41"/>
    <x v="37"/>
    <x v="1"/>
    <s v="шт."/>
    <s v="нед."/>
    <s v="Банк"/>
    <m/>
    <x v="1"/>
    <s v="Обратная связь по предлагаемым действиям"/>
  </r>
  <r>
    <x v="22"/>
    <n v="55"/>
    <x v="41"/>
    <x v="37"/>
    <x v="1"/>
    <s v="шт."/>
    <s v="нед."/>
    <s v="Банк"/>
    <m/>
    <x v="1"/>
    <s v="Обратная связь по расчетам отклонения"/>
  </r>
  <r>
    <x v="23"/>
    <n v="162"/>
    <x v="41"/>
    <x v="37"/>
    <x v="1"/>
    <s v="шт."/>
    <s v="нед."/>
    <s v="Банк"/>
    <m/>
    <x v="1"/>
    <s v="Другое"/>
  </r>
  <r>
    <x v="23"/>
    <n v="164"/>
    <x v="41"/>
    <x v="37"/>
    <x v="1"/>
    <s v="шт."/>
    <s v="нед."/>
    <s v="Банк"/>
    <m/>
    <x v="1"/>
    <s v="Комментарии к выполненным мероприятиям"/>
  </r>
  <r>
    <x v="23"/>
    <n v="4"/>
    <x v="41"/>
    <x v="37"/>
    <x v="1"/>
    <s v="шт."/>
    <s v="нед."/>
    <s v="Банк"/>
    <m/>
    <x v="1"/>
    <s v="Обратная связь по интерфейсу"/>
  </r>
  <r>
    <x v="23"/>
    <n v="49"/>
    <x v="41"/>
    <x v="37"/>
    <x v="1"/>
    <s v="шт."/>
    <s v="нед."/>
    <s v="Банк"/>
    <m/>
    <x v="1"/>
    <s v="Обратная связь по предлагаемым действиям"/>
  </r>
  <r>
    <x v="23"/>
    <n v="67"/>
    <x v="41"/>
    <x v="37"/>
    <x v="1"/>
    <s v="шт."/>
    <s v="нед."/>
    <s v="Банк"/>
    <m/>
    <x v="1"/>
    <s v="Обратная связь по расчетам отклонения"/>
  </r>
  <r>
    <x v="24"/>
    <n v="127"/>
    <x v="41"/>
    <x v="37"/>
    <x v="1"/>
    <s v="шт."/>
    <s v="нед."/>
    <s v="Банк"/>
    <m/>
    <x v="1"/>
    <s v="Другое"/>
  </r>
  <r>
    <x v="24"/>
    <n v="109"/>
    <x v="41"/>
    <x v="37"/>
    <x v="1"/>
    <s v="шт."/>
    <s v="нед."/>
    <s v="Банк"/>
    <m/>
    <x v="1"/>
    <s v="Комментарии к выполненным мероприятиям"/>
  </r>
  <r>
    <x v="24"/>
    <n v="4"/>
    <x v="41"/>
    <x v="37"/>
    <x v="1"/>
    <s v="шт."/>
    <s v="нед."/>
    <s v="Банк"/>
    <m/>
    <x v="1"/>
    <s v="Обратная связь по интерфейсу"/>
  </r>
  <r>
    <x v="24"/>
    <n v="23"/>
    <x v="41"/>
    <x v="37"/>
    <x v="1"/>
    <s v="шт."/>
    <s v="нед."/>
    <s v="Банк"/>
    <m/>
    <x v="1"/>
    <s v="Обратная связь по предлагаемым действиям"/>
  </r>
  <r>
    <x v="24"/>
    <n v="59"/>
    <x v="41"/>
    <x v="37"/>
    <x v="1"/>
    <s v="шт."/>
    <s v="нед."/>
    <s v="Банк"/>
    <m/>
    <x v="1"/>
    <s v="Обратная связь по расчетам отклонения"/>
  </r>
  <r>
    <x v="25"/>
    <n v="76"/>
    <x v="41"/>
    <x v="37"/>
    <x v="1"/>
    <s v="шт."/>
    <s v="нед."/>
    <s v="Банк"/>
    <m/>
    <x v="1"/>
    <s v="Другое"/>
  </r>
  <r>
    <x v="25"/>
    <n v="80"/>
    <x v="41"/>
    <x v="37"/>
    <x v="1"/>
    <s v="шт."/>
    <s v="нед."/>
    <s v="Банк"/>
    <m/>
    <x v="1"/>
    <s v="Комментарии к выполненным мероприятиям"/>
  </r>
  <r>
    <x v="25"/>
    <n v="2"/>
    <x v="41"/>
    <x v="37"/>
    <x v="1"/>
    <s v="шт."/>
    <s v="нед."/>
    <s v="Банк"/>
    <m/>
    <x v="1"/>
    <s v="Обратная связь по интерфейсу"/>
  </r>
  <r>
    <x v="25"/>
    <n v="19"/>
    <x v="41"/>
    <x v="37"/>
    <x v="1"/>
    <s v="шт."/>
    <s v="нед."/>
    <s v="Банк"/>
    <m/>
    <x v="1"/>
    <s v="Обратная связь по предлагаемым действиям"/>
  </r>
  <r>
    <x v="25"/>
    <n v="56"/>
    <x v="41"/>
    <x v="37"/>
    <x v="1"/>
    <s v="шт."/>
    <s v="нед."/>
    <s v="Банк"/>
    <m/>
    <x v="1"/>
    <s v="Обратная связь по расчетам отклонения"/>
  </r>
  <r>
    <x v="26"/>
    <n v="89"/>
    <x v="41"/>
    <x v="37"/>
    <x v="1"/>
    <s v="шт."/>
    <s v="нед."/>
    <s v="Банк"/>
    <m/>
    <x v="1"/>
    <s v="Другое"/>
  </r>
  <r>
    <x v="26"/>
    <n v="82"/>
    <x v="41"/>
    <x v="37"/>
    <x v="1"/>
    <s v="шт."/>
    <s v="нед."/>
    <s v="Банк"/>
    <m/>
    <x v="1"/>
    <s v="Комментарии к выполненным мероприятиям"/>
  </r>
  <r>
    <x v="26"/>
    <n v="1"/>
    <x v="41"/>
    <x v="37"/>
    <x v="1"/>
    <s v="шт."/>
    <s v="нед."/>
    <s v="Банк"/>
    <m/>
    <x v="1"/>
    <s v="Обратная связь по интерфейсу"/>
  </r>
  <r>
    <x v="26"/>
    <n v="19"/>
    <x v="41"/>
    <x v="37"/>
    <x v="1"/>
    <s v="шт."/>
    <s v="нед."/>
    <s v="Банк"/>
    <m/>
    <x v="1"/>
    <s v="Обратная связь по предлагаемым действиям"/>
  </r>
  <r>
    <x v="26"/>
    <n v="42"/>
    <x v="41"/>
    <x v="37"/>
    <x v="1"/>
    <s v="шт."/>
    <s v="нед."/>
    <s v="Банк"/>
    <m/>
    <x v="1"/>
    <s v="Обратная связь по расчетам отклонения"/>
  </r>
  <r>
    <x v="27"/>
    <n v="95"/>
    <x v="41"/>
    <x v="37"/>
    <x v="1"/>
    <s v="шт."/>
    <s v="нед."/>
    <s v="Банк"/>
    <m/>
    <x v="1"/>
    <s v="Другое"/>
  </r>
  <r>
    <x v="27"/>
    <n v="133"/>
    <x v="41"/>
    <x v="37"/>
    <x v="1"/>
    <s v="шт."/>
    <s v="нед."/>
    <s v="Банк"/>
    <m/>
    <x v="1"/>
    <s v="Комментарии к выполненным мероприятиям"/>
  </r>
  <r>
    <x v="27"/>
    <n v="3"/>
    <x v="41"/>
    <x v="37"/>
    <x v="1"/>
    <s v="шт."/>
    <s v="нед."/>
    <s v="Банк"/>
    <m/>
    <x v="1"/>
    <s v="Обратная связь по интерфейсу"/>
  </r>
  <r>
    <x v="27"/>
    <n v="30"/>
    <x v="41"/>
    <x v="37"/>
    <x v="1"/>
    <s v="шт."/>
    <s v="нед."/>
    <s v="Банк"/>
    <m/>
    <x v="1"/>
    <s v="Обратная связь по предлагаемым действиям"/>
  </r>
  <r>
    <x v="27"/>
    <n v="39"/>
    <x v="41"/>
    <x v="37"/>
    <x v="1"/>
    <s v="шт."/>
    <s v="нед."/>
    <s v="Банк"/>
    <m/>
    <x v="1"/>
    <s v="Обратная связь по расчетам отклонения"/>
  </r>
  <r>
    <x v="28"/>
    <n v="115"/>
    <x v="41"/>
    <x v="37"/>
    <x v="1"/>
    <s v="шт."/>
    <s v="нед."/>
    <s v="Банк"/>
    <m/>
    <x v="1"/>
    <s v="Другое"/>
  </r>
  <r>
    <x v="28"/>
    <n v="124"/>
    <x v="41"/>
    <x v="37"/>
    <x v="1"/>
    <s v="шт."/>
    <s v="нед."/>
    <s v="Банк"/>
    <m/>
    <x v="1"/>
    <s v="Комментарии к выполненным мероприятиям"/>
  </r>
  <r>
    <x v="28"/>
    <n v="4"/>
    <x v="41"/>
    <x v="37"/>
    <x v="1"/>
    <s v="шт."/>
    <s v="нед."/>
    <s v="Банк"/>
    <m/>
    <x v="1"/>
    <s v="Обратная связь по интерфейсу"/>
  </r>
  <r>
    <x v="28"/>
    <n v="24"/>
    <x v="41"/>
    <x v="37"/>
    <x v="1"/>
    <s v="шт."/>
    <s v="нед."/>
    <s v="Банк"/>
    <m/>
    <x v="1"/>
    <s v="Обратная связь по предлагаемым действиям"/>
  </r>
  <r>
    <x v="28"/>
    <n v="41"/>
    <x v="41"/>
    <x v="37"/>
    <x v="1"/>
    <s v="шт."/>
    <s v="нед."/>
    <s v="Банк"/>
    <m/>
    <x v="1"/>
    <s v="Обратная связь по расчетам отклонения"/>
  </r>
  <r>
    <x v="29"/>
    <n v="121"/>
    <x v="41"/>
    <x v="37"/>
    <x v="1"/>
    <s v="шт."/>
    <s v="нед."/>
    <s v="Банк"/>
    <m/>
    <x v="1"/>
    <s v="Другое"/>
  </r>
  <r>
    <x v="29"/>
    <n v="154"/>
    <x v="41"/>
    <x v="37"/>
    <x v="1"/>
    <s v="шт."/>
    <s v="нед."/>
    <s v="Банк"/>
    <m/>
    <x v="1"/>
    <s v="Комментарии к выполненным мероприятиям"/>
  </r>
  <r>
    <x v="29"/>
    <n v="3"/>
    <x v="41"/>
    <x v="37"/>
    <x v="1"/>
    <s v="шт."/>
    <s v="нед."/>
    <s v="Банк"/>
    <m/>
    <x v="1"/>
    <s v="Обратная связь по интерфейсу"/>
  </r>
  <r>
    <x v="29"/>
    <n v="29"/>
    <x v="41"/>
    <x v="37"/>
    <x v="1"/>
    <s v="шт."/>
    <s v="нед."/>
    <s v="Банк"/>
    <m/>
    <x v="1"/>
    <s v="Обратная связь по предлагаемым действиям"/>
  </r>
  <r>
    <x v="29"/>
    <n v="56"/>
    <x v="41"/>
    <x v="37"/>
    <x v="1"/>
    <s v="шт."/>
    <s v="нед."/>
    <s v="Банк"/>
    <m/>
    <x v="1"/>
    <s v="Обратная связь по расчетам отклонения"/>
  </r>
  <r>
    <x v="30"/>
    <n v="84"/>
    <x v="41"/>
    <x v="37"/>
    <x v="1"/>
    <s v="шт."/>
    <s v="нед."/>
    <s v="Банк"/>
    <m/>
    <x v="1"/>
    <s v="Другое"/>
  </r>
  <r>
    <x v="30"/>
    <n v="86"/>
    <x v="41"/>
    <x v="37"/>
    <x v="1"/>
    <s v="шт."/>
    <s v="нед."/>
    <s v="Банк"/>
    <m/>
    <x v="1"/>
    <s v="Комментарии к выполненным мероприятиям"/>
  </r>
  <r>
    <x v="30"/>
    <n v="3"/>
    <x v="41"/>
    <x v="37"/>
    <x v="1"/>
    <s v="шт."/>
    <s v="нед."/>
    <s v="Банк"/>
    <m/>
    <x v="1"/>
    <s v="Обратная связь по интерфейсу"/>
  </r>
  <r>
    <x v="30"/>
    <n v="22"/>
    <x v="41"/>
    <x v="37"/>
    <x v="1"/>
    <s v="шт."/>
    <s v="нед."/>
    <s v="Банк"/>
    <m/>
    <x v="1"/>
    <s v="Обратная связь по предлагаемым действиям"/>
  </r>
  <r>
    <x v="30"/>
    <n v="47"/>
    <x v="41"/>
    <x v="37"/>
    <x v="1"/>
    <s v="шт."/>
    <s v="нед."/>
    <s v="Банк"/>
    <m/>
    <x v="1"/>
    <s v="Обратная связь по расчетам отклонения"/>
  </r>
  <r>
    <x v="17"/>
    <n v="1951"/>
    <x v="42"/>
    <x v="38"/>
    <x v="1"/>
    <s v="шт."/>
    <s v="4_2025"/>
    <s v="Банк"/>
    <m/>
    <x v="0"/>
    <m/>
  </r>
  <r>
    <x v="28"/>
    <n v="1938"/>
    <x v="42"/>
    <x v="38"/>
    <x v="1"/>
    <s v="шт."/>
    <s v="1_2026"/>
    <s v="Банк"/>
    <m/>
    <x v="0"/>
    <m/>
  </r>
  <r>
    <x v="16"/>
    <n v="-1"/>
    <x v="10"/>
    <x v="10"/>
    <x v="0"/>
    <s v="шт."/>
    <s v="нед."/>
    <s v="Банк"/>
    <m/>
    <x v="9"/>
    <m/>
  </r>
  <r>
    <x v="16"/>
    <n v="-1"/>
    <x v="10"/>
    <x v="10"/>
    <x v="0"/>
    <s v="шт."/>
    <s v="нед."/>
    <s v="Банк"/>
    <m/>
    <x v="27"/>
    <m/>
  </r>
  <r>
    <x v="4"/>
    <n v="-1"/>
    <x v="10"/>
    <x v="10"/>
    <x v="0"/>
    <s v="шт."/>
    <s v="нед."/>
    <s v="Банк"/>
    <m/>
    <x v="28"/>
    <m/>
  </r>
  <r>
    <x v="0"/>
    <n v="38"/>
    <x v="43"/>
    <x v="39"/>
    <x v="1"/>
    <s v="%"/>
    <s v="нед."/>
    <s v="Банк"/>
    <m/>
    <x v="1"/>
    <m/>
  </r>
  <r>
    <x v="1"/>
    <n v="38"/>
    <x v="43"/>
    <x v="39"/>
    <x v="1"/>
    <s v="%"/>
    <s v="нед."/>
    <s v="Банк"/>
    <m/>
    <x v="1"/>
    <m/>
  </r>
  <r>
    <x v="2"/>
    <n v="37"/>
    <x v="43"/>
    <x v="39"/>
    <x v="1"/>
    <s v="%"/>
    <s v="нед."/>
    <s v="Банк"/>
    <m/>
    <x v="1"/>
    <m/>
  </r>
  <r>
    <x v="3"/>
    <n v="41"/>
    <x v="43"/>
    <x v="39"/>
    <x v="1"/>
    <s v="%"/>
    <s v="нед."/>
    <s v="Банк"/>
    <m/>
    <x v="1"/>
    <m/>
  </r>
  <r>
    <x v="4"/>
    <n v="41"/>
    <x v="43"/>
    <x v="39"/>
    <x v="1"/>
    <s v="%"/>
    <s v="нед."/>
    <s v="Банк"/>
    <m/>
    <x v="1"/>
    <m/>
  </r>
  <r>
    <x v="5"/>
    <n v="43"/>
    <x v="43"/>
    <x v="39"/>
    <x v="1"/>
    <s v="%"/>
    <s v="нед."/>
    <s v="Банк"/>
    <m/>
    <x v="1"/>
    <m/>
  </r>
  <r>
    <x v="6"/>
    <n v="45"/>
    <x v="43"/>
    <x v="39"/>
    <x v="1"/>
    <s v="%"/>
    <s v="нед."/>
    <s v="Банк"/>
    <m/>
    <x v="1"/>
    <m/>
  </r>
  <r>
    <x v="7"/>
    <n v="43"/>
    <x v="43"/>
    <x v="39"/>
    <x v="1"/>
    <s v="%"/>
    <s v="нед."/>
    <s v="Банк"/>
    <m/>
    <x v="1"/>
    <m/>
  </r>
  <r>
    <x v="8"/>
    <n v="44"/>
    <x v="43"/>
    <x v="39"/>
    <x v="1"/>
    <s v="%"/>
    <s v="нед."/>
    <s v="Банк"/>
    <m/>
    <x v="1"/>
    <m/>
  </r>
  <r>
    <x v="9"/>
    <n v="43"/>
    <x v="43"/>
    <x v="39"/>
    <x v="1"/>
    <s v="%"/>
    <s v="нед."/>
    <s v="Банк"/>
    <m/>
    <x v="1"/>
    <m/>
  </r>
  <r>
    <x v="10"/>
    <n v="40"/>
    <x v="43"/>
    <x v="39"/>
    <x v="1"/>
    <s v="%"/>
    <s v="нед."/>
    <s v="Банк"/>
    <m/>
    <x v="1"/>
    <m/>
  </r>
  <r>
    <x v="11"/>
    <n v="42"/>
    <x v="43"/>
    <x v="39"/>
    <x v="1"/>
    <s v="%"/>
    <s v="нед."/>
    <s v="Банк"/>
    <m/>
    <x v="1"/>
    <m/>
  </r>
  <r>
    <x v="12"/>
    <n v="44"/>
    <x v="43"/>
    <x v="39"/>
    <x v="1"/>
    <s v="%"/>
    <s v="нед."/>
    <s v="Банк"/>
    <m/>
    <x v="1"/>
    <m/>
  </r>
  <r>
    <x v="13"/>
    <n v="43"/>
    <x v="43"/>
    <x v="39"/>
    <x v="1"/>
    <s v="%"/>
    <s v="нед."/>
    <s v="Банк"/>
    <m/>
    <x v="1"/>
    <m/>
  </r>
  <r>
    <x v="14"/>
    <n v="43"/>
    <x v="43"/>
    <x v="39"/>
    <x v="1"/>
    <s v="%"/>
    <s v="нед."/>
    <s v="Банк"/>
    <m/>
    <x v="1"/>
    <m/>
  </r>
  <r>
    <x v="15"/>
    <n v="43"/>
    <x v="43"/>
    <x v="39"/>
    <x v="1"/>
    <s v="%"/>
    <s v="нед."/>
    <s v="Банк"/>
    <m/>
    <x v="1"/>
    <m/>
  </r>
  <r>
    <x v="16"/>
    <n v="39"/>
    <x v="43"/>
    <x v="39"/>
    <x v="1"/>
    <s v="%"/>
    <s v="нед."/>
    <s v="Банк"/>
    <m/>
    <x v="1"/>
    <m/>
  </r>
  <r>
    <x v="17"/>
    <n v="40"/>
    <x v="43"/>
    <x v="39"/>
    <x v="1"/>
    <s v="%"/>
    <s v="нед."/>
    <s v="Банк"/>
    <m/>
    <x v="1"/>
    <m/>
  </r>
  <r>
    <x v="18"/>
    <n v="37"/>
    <x v="43"/>
    <x v="39"/>
    <x v="1"/>
    <s v="%"/>
    <s v="нед."/>
    <s v="Банк"/>
    <m/>
    <x v="1"/>
    <m/>
  </r>
  <r>
    <x v="19"/>
    <n v="42"/>
    <x v="43"/>
    <x v="39"/>
    <x v="1"/>
    <s v="%"/>
    <s v="нед."/>
    <s v="Банк"/>
    <m/>
    <x v="1"/>
    <m/>
  </r>
  <r>
    <x v="20"/>
    <n v="44"/>
    <x v="43"/>
    <x v="39"/>
    <x v="1"/>
    <s v="%"/>
    <s v="нед."/>
    <s v="Банк"/>
    <m/>
    <x v="1"/>
    <m/>
  </r>
  <r>
    <x v="21"/>
    <n v="48"/>
    <x v="43"/>
    <x v="39"/>
    <x v="1"/>
    <s v="%"/>
    <s v="нед."/>
    <s v="Банк"/>
    <m/>
    <x v="1"/>
    <m/>
  </r>
  <r>
    <x v="22"/>
    <n v="50"/>
    <x v="43"/>
    <x v="39"/>
    <x v="1"/>
    <s v="%"/>
    <s v="нед."/>
    <s v="Банк"/>
    <m/>
    <x v="1"/>
    <m/>
  </r>
  <r>
    <x v="23"/>
    <n v="48"/>
    <x v="43"/>
    <x v="39"/>
    <x v="1"/>
    <s v="%"/>
    <s v="нед."/>
    <s v="Банк"/>
    <m/>
    <x v="1"/>
    <m/>
  </r>
  <r>
    <x v="24"/>
    <n v="48"/>
    <x v="43"/>
    <x v="39"/>
    <x v="1"/>
    <s v="%"/>
    <s v="нед."/>
    <s v="Банк"/>
    <m/>
    <x v="1"/>
    <m/>
  </r>
  <r>
    <x v="26"/>
    <n v="49"/>
    <x v="43"/>
    <x v="39"/>
    <x v="1"/>
    <s v="%"/>
    <s v="нед."/>
    <s v="Банк"/>
    <m/>
    <x v="1"/>
    <m/>
  </r>
  <r>
    <x v="27"/>
    <n v="47"/>
    <x v="43"/>
    <x v="39"/>
    <x v="1"/>
    <s v="%"/>
    <s v="нед."/>
    <s v="Банк"/>
    <m/>
    <x v="1"/>
    <m/>
  </r>
  <r>
    <x v="28"/>
    <n v="47"/>
    <x v="43"/>
    <x v="39"/>
    <x v="1"/>
    <s v="%"/>
    <s v="нед."/>
    <s v="Банк"/>
    <m/>
    <x v="1"/>
    <m/>
  </r>
  <r>
    <x v="29"/>
    <n v="48"/>
    <x v="43"/>
    <x v="39"/>
    <x v="1"/>
    <s v="%"/>
    <s v="нед."/>
    <s v="Банк"/>
    <m/>
    <x v="1"/>
    <m/>
  </r>
  <r>
    <x v="0"/>
    <n v="48"/>
    <x v="44"/>
    <x v="40"/>
    <x v="1"/>
    <s v="%"/>
    <s v="нед."/>
    <s v="Банк"/>
    <m/>
    <x v="1"/>
    <m/>
  </r>
  <r>
    <x v="1"/>
    <n v="48"/>
    <x v="44"/>
    <x v="40"/>
    <x v="1"/>
    <s v="%"/>
    <s v="нед."/>
    <s v="Банк"/>
    <m/>
    <x v="1"/>
    <m/>
  </r>
  <r>
    <x v="2"/>
    <n v="48"/>
    <x v="44"/>
    <x v="40"/>
    <x v="1"/>
    <s v="%"/>
    <s v="нед."/>
    <s v="Банк"/>
    <m/>
    <x v="1"/>
    <m/>
  </r>
  <r>
    <x v="3"/>
    <n v="49"/>
    <x v="44"/>
    <x v="40"/>
    <x v="1"/>
    <s v="%"/>
    <s v="нед."/>
    <s v="Банк"/>
    <m/>
    <x v="1"/>
    <m/>
  </r>
  <r>
    <x v="4"/>
    <n v="50"/>
    <x v="44"/>
    <x v="40"/>
    <x v="1"/>
    <s v="%"/>
    <s v="нед."/>
    <s v="Банк"/>
    <m/>
    <x v="1"/>
    <m/>
  </r>
  <r>
    <x v="5"/>
    <n v="53"/>
    <x v="44"/>
    <x v="40"/>
    <x v="1"/>
    <s v="%"/>
    <s v="нед."/>
    <s v="Банк"/>
    <m/>
    <x v="1"/>
    <m/>
  </r>
  <r>
    <x v="6"/>
    <n v="52"/>
    <x v="44"/>
    <x v="40"/>
    <x v="1"/>
    <s v="%"/>
    <s v="нед."/>
    <s v="Банк"/>
    <m/>
    <x v="1"/>
    <m/>
  </r>
  <r>
    <x v="7"/>
    <n v="51"/>
    <x v="44"/>
    <x v="40"/>
    <x v="1"/>
    <s v="%"/>
    <s v="нед."/>
    <s v="Банк"/>
    <m/>
    <x v="1"/>
    <m/>
  </r>
  <r>
    <x v="8"/>
    <n v="51"/>
    <x v="44"/>
    <x v="40"/>
    <x v="1"/>
    <s v="%"/>
    <s v="нед."/>
    <s v="Банк"/>
    <m/>
    <x v="1"/>
    <m/>
  </r>
  <r>
    <x v="9"/>
    <n v="51"/>
    <x v="44"/>
    <x v="40"/>
    <x v="1"/>
    <s v="%"/>
    <s v="нед."/>
    <s v="Банк"/>
    <m/>
    <x v="1"/>
    <m/>
  </r>
  <r>
    <x v="10"/>
    <n v="48"/>
    <x v="44"/>
    <x v="40"/>
    <x v="1"/>
    <s v="%"/>
    <s v="нед."/>
    <s v="Банк"/>
    <m/>
    <x v="1"/>
    <m/>
  </r>
  <r>
    <x v="11"/>
    <n v="49"/>
    <x v="44"/>
    <x v="40"/>
    <x v="1"/>
    <s v="%"/>
    <s v="нед."/>
    <s v="Банк"/>
    <m/>
    <x v="1"/>
    <m/>
  </r>
  <r>
    <x v="12"/>
    <n v="51"/>
    <x v="44"/>
    <x v="40"/>
    <x v="1"/>
    <s v="%"/>
    <s v="нед."/>
    <s v="Банк"/>
    <m/>
    <x v="1"/>
    <m/>
  </r>
  <r>
    <x v="13"/>
    <n v="51"/>
    <x v="44"/>
    <x v="40"/>
    <x v="1"/>
    <s v="%"/>
    <s v="нед."/>
    <s v="Банк"/>
    <m/>
    <x v="1"/>
    <m/>
  </r>
  <r>
    <x v="14"/>
    <n v="51"/>
    <x v="44"/>
    <x v="40"/>
    <x v="1"/>
    <s v="%"/>
    <s v="нед."/>
    <s v="Банк"/>
    <m/>
    <x v="1"/>
    <m/>
  </r>
  <r>
    <x v="15"/>
    <n v="50"/>
    <x v="44"/>
    <x v="40"/>
    <x v="1"/>
    <s v="%"/>
    <s v="нед."/>
    <s v="Банк"/>
    <m/>
    <x v="1"/>
    <m/>
  </r>
  <r>
    <x v="16"/>
    <n v="47"/>
    <x v="44"/>
    <x v="40"/>
    <x v="1"/>
    <s v="%"/>
    <s v="нед."/>
    <s v="Банк"/>
    <m/>
    <x v="1"/>
    <m/>
  </r>
  <r>
    <x v="17"/>
    <n v="48"/>
    <x v="44"/>
    <x v="40"/>
    <x v="1"/>
    <s v="%"/>
    <s v="нед."/>
    <s v="Банк"/>
    <m/>
    <x v="1"/>
    <m/>
  </r>
  <r>
    <x v="18"/>
    <n v="48"/>
    <x v="44"/>
    <x v="40"/>
    <x v="1"/>
    <s v="%"/>
    <s v="нед."/>
    <s v="Банк"/>
    <m/>
    <x v="1"/>
    <m/>
  </r>
  <r>
    <x v="19"/>
    <n v="54"/>
    <x v="44"/>
    <x v="40"/>
    <x v="1"/>
    <s v="%"/>
    <s v="нед."/>
    <s v="Банк"/>
    <m/>
    <x v="1"/>
    <m/>
  </r>
  <r>
    <x v="20"/>
    <n v="56.00000000000001"/>
    <x v="44"/>
    <x v="40"/>
    <x v="1"/>
    <s v="%"/>
    <s v="нед."/>
    <s v="Банк"/>
    <m/>
    <x v="1"/>
    <m/>
  </r>
  <r>
    <x v="21"/>
    <n v="51"/>
    <x v="44"/>
    <x v="40"/>
    <x v="1"/>
    <s v="%"/>
    <s v="нед."/>
    <s v="Банк"/>
    <m/>
    <x v="1"/>
    <m/>
  </r>
  <r>
    <x v="22"/>
    <n v="52"/>
    <x v="44"/>
    <x v="40"/>
    <x v="1"/>
    <s v="%"/>
    <s v="нед."/>
    <s v="Банк"/>
    <m/>
    <x v="1"/>
    <m/>
  </r>
  <r>
    <x v="23"/>
    <n v="52"/>
    <x v="44"/>
    <x v="40"/>
    <x v="1"/>
    <s v="%"/>
    <s v="нед."/>
    <s v="Банк"/>
    <m/>
    <x v="1"/>
    <m/>
  </r>
  <r>
    <x v="24"/>
    <n v="51"/>
    <x v="44"/>
    <x v="40"/>
    <x v="1"/>
    <s v="%"/>
    <s v="нед."/>
    <s v="Банк"/>
    <m/>
    <x v="1"/>
    <m/>
  </r>
  <r>
    <x v="26"/>
    <n v="48"/>
    <x v="44"/>
    <x v="40"/>
    <x v="1"/>
    <s v="%"/>
    <s v="нед."/>
    <s v="Банк"/>
    <m/>
    <x v="1"/>
    <m/>
  </r>
  <r>
    <x v="27"/>
    <n v="49"/>
    <x v="44"/>
    <x v="40"/>
    <x v="1"/>
    <s v="%"/>
    <s v="нед."/>
    <s v="Банк"/>
    <m/>
    <x v="1"/>
    <m/>
  </r>
  <r>
    <x v="28"/>
    <n v="49"/>
    <x v="44"/>
    <x v="40"/>
    <x v="1"/>
    <s v="%"/>
    <s v="нед."/>
    <s v="Банк"/>
    <m/>
    <x v="1"/>
    <m/>
  </r>
  <r>
    <x v="29"/>
    <n v="50"/>
    <x v="44"/>
    <x v="40"/>
    <x v="1"/>
    <s v="%"/>
    <s v="нед."/>
    <s v="Банк"/>
    <m/>
    <x v="1"/>
    <m/>
  </r>
  <r>
    <x v="33"/>
    <n v="20"/>
    <x v="0"/>
    <x v="0"/>
    <x v="0"/>
    <s v="шт."/>
    <s v="нед."/>
    <s v="Банк"/>
    <m/>
    <x v="0"/>
    <m/>
  </r>
  <r>
    <x v="33"/>
    <n v="40"/>
    <x v="9"/>
    <x v="9"/>
    <x v="0"/>
    <s v="шт."/>
    <s v="нед."/>
    <s v="Банк"/>
    <m/>
    <x v="0"/>
    <m/>
  </r>
  <r>
    <x v="34"/>
    <n v="40"/>
    <x v="9"/>
    <x v="9"/>
    <x v="0"/>
    <s v="шт."/>
    <s v="нед."/>
    <s v="Банк"/>
    <m/>
    <x v="0"/>
    <m/>
  </r>
  <r>
    <x v="35"/>
    <n v="40"/>
    <x v="9"/>
    <x v="9"/>
    <x v="0"/>
    <s v="шт."/>
    <s v="нед."/>
    <s v="Банк"/>
    <m/>
    <x v="0"/>
    <m/>
  </r>
  <r>
    <x v="34"/>
    <n v="20"/>
    <x v="0"/>
    <x v="0"/>
    <x v="0"/>
    <s v="шт."/>
    <s v="нед."/>
    <s v="Банк"/>
    <m/>
    <x v="0"/>
    <m/>
  </r>
  <r>
    <x v="35"/>
    <n v="20"/>
    <x v="0"/>
    <x v="0"/>
    <x v="0"/>
    <s v="шт."/>
    <s v="нед."/>
    <s v="Банк"/>
    <m/>
    <x v="0"/>
    <m/>
  </r>
  <r>
    <x v="33"/>
    <n v="1346"/>
    <x v="36"/>
    <x v="35"/>
    <x v="0"/>
    <s v="шт."/>
    <s v="нед."/>
    <s v="Банк"/>
    <m/>
    <x v="0"/>
    <m/>
  </r>
  <r>
    <x v="34"/>
    <n v="1108"/>
    <x v="36"/>
    <x v="35"/>
    <x v="0"/>
    <s v="шт."/>
    <s v="нед."/>
    <s v="Банк"/>
    <m/>
    <x v="0"/>
    <m/>
  </r>
  <r>
    <x v="35"/>
    <n v="1157"/>
    <x v="36"/>
    <x v="35"/>
    <x v="0"/>
    <s v="шт."/>
    <s v="нед."/>
    <s v="Банк"/>
    <m/>
    <x v="0"/>
    <m/>
  </r>
  <r>
    <x v="33"/>
    <n v="933"/>
    <x v="37"/>
    <x v="36"/>
    <x v="0"/>
    <s v="шт."/>
    <s v="нед."/>
    <s v="Банк"/>
    <m/>
    <x v="0"/>
    <m/>
  </r>
  <r>
    <x v="34"/>
    <n v="928"/>
    <x v="37"/>
    <x v="36"/>
    <x v="0"/>
    <s v="шт."/>
    <s v="нед."/>
    <s v="Банк"/>
    <m/>
    <x v="0"/>
    <m/>
  </r>
  <r>
    <x v="35"/>
    <n v="936"/>
    <x v="37"/>
    <x v="36"/>
    <x v="0"/>
    <s v="шт."/>
    <s v="нед."/>
    <s v="Банк"/>
    <m/>
    <x v="0"/>
    <m/>
  </r>
  <r>
    <x v="33"/>
    <n v="305"/>
    <x v="40"/>
    <x v="37"/>
    <x v="2"/>
    <s v="шт."/>
    <s v="нед."/>
    <s v="Банк"/>
    <m/>
    <x v="0"/>
    <s v="Другое"/>
  </r>
  <r>
    <x v="33"/>
    <n v="253"/>
    <x v="40"/>
    <x v="37"/>
    <x v="2"/>
    <s v="шт."/>
    <s v="нед."/>
    <s v="Банк"/>
    <m/>
    <x v="0"/>
    <s v="Комментарии к выполненным мероприятиям"/>
  </r>
  <r>
    <x v="33"/>
    <n v="8"/>
    <x v="40"/>
    <x v="37"/>
    <x v="2"/>
    <s v="шт."/>
    <s v="нед."/>
    <s v="Банк"/>
    <m/>
    <x v="0"/>
    <s v="Обратная связь по интерфейсу"/>
  </r>
  <r>
    <x v="33"/>
    <n v="56"/>
    <x v="40"/>
    <x v="37"/>
    <x v="2"/>
    <s v="шт."/>
    <s v="нед."/>
    <s v="Банк"/>
    <m/>
    <x v="0"/>
    <s v="Обратная связь по предлагаемым действиям"/>
  </r>
  <r>
    <x v="33"/>
    <n v="164"/>
    <x v="40"/>
    <x v="37"/>
    <x v="2"/>
    <s v="шт."/>
    <s v="нед."/>
    <s v="Банк"/>
    <m/>
    <x v="0"/>
    <s v="Обратная связь по расчетам отклонения"/>
  </r>
  <r>
    <x v="34"/>
    <n v="328"/>
    <x v="40"/>
    <x v="37"/>
    <x v="2"/>
    <s v="шт."/>
    <s v="нед."/>
    <s v="Банк"/>
    <m/>
    <x v="0"/>
    <s v="Другое"/>
  </r>
  <r>
    <x v="34"/>
    <n v="330"/>
    <x v="40"/>
    <x v="37"/>
    <x v="2"/>
    <s v="шт."/>
    <s v="нед."/>
    <s v="Банк"/>
    <m/>
    <x v="0"/>
    <s v="Комментарии к выполненным мероприятиям"/>
  </r>
  <r>
    <x v="34"/>
    <n v="10"/>
    <x v="40"/>
    <x v="37"/>
    <x v="2"/>
    <s v="шт."/>
    <s v="нед."/>
    <s v="Банк"/>
    <m/>
    <x v="0"/>
    <s v="Обратная связь по интерфейсу"/>
  </r>
  <r>
    <x v="34"/>
    <n v="43"/>
    <x v="40"/>
    <x v="37"/>
    <x v="2"/>
    <s v="шт."/>
    <s v="нед."/>
    <s v="Банк"/>
    <m/>
    <x v="0"/>
    <s v="Обратная связь по предлагаемым действиям"/>
  </r>
  <r>
    <x v="34"/>
    <n v="168"/>
    <x v="40"/>
    <x v="37"/>
    <x v="2"/>
    <s v="шт."/>
    <s v="нед."/>
    <s v="Банк"/>
    <m/>
    <x v="0"/>
    <s v="Обратная связь по расчетам отклонения"/>
  </r>
  <r>
    <x v="35"/>
    <n v="311"/>
    <x v="40"/>
    <x v="37"/>
    <x v="2"/>
    <s v="шт."/>
    <s v="нед."/>
    <s v="Банк"/>
    <m/>
    <x v="0"/>
    <s v="Другое"/>
  </r>
  <r>
    <x v="35"/>
    <n v="257"/>
    <x v="40"/>
    <x v="37"/>
    <x v="2"/>
    <s v="шт."/>
    <s v="нед."/>
    <s v="Банк"/>
    <m/>
    <x v="0"/>
    <s v="Комментарии к выполненным мероприятиям"/>
  </r>
  <r>
    <x v="35"/>
    <n v="10"/>
    <x v="40"/>
    <x v="37"/>
    <x v="2"/>
    <s v="шт."/>
    <s v="нед."/>
    <s v="Банк"/>
    <m/>
    <x v="0"/>
    <s v="Обратная связь по интерфейсу"/>
  </r>
  <r>
    <x v="35"/>
    <n v="50"/>
    <x v="40"/>
    <x v="37"/>
    <x v="2"/>
    <s v="шт."/>
    <s v="нед."/>
    <s v="Банк"/>
    <m/>
    <x v="0"/>
    <s v="Обратная связь по предлагаемым действиям"/>
  </r>
  <r>
    <x v="35"/>
    <n v="159"/>
    <x v="40"/>
    <x v="37"/>
    <x v="2"/>
    <s v="шт."/>
    <s v="нед."/>
    <s v="Банк"/>
    <m/>
    <x v="0"/>
    <s v="Обратная связь по расчетам отклонения"/>
  </r>
  <r>
    <x v="30"/>
    <n v="50"/>
    <x v="43"/>
    <x v="39"/>
    <x v="1"/>
    <s v="%"/>
    <s v="нед."/>
    <s v="Банк"/>
    <m/>
    <x v="1"/>
    <m/>
  </r>
  <r>
    <x v="33"/>
    <n v="47"/>
    <x v="43"/>
    <x v="39"/>
    <x v="1"/>
    <s v="%"/>
    <s v="нед."/>
    <s v="Банк"/>
    <m/>
    <x v="1"/>
    <m/>
  </r>
  <r>
    <x v="34"/>
    <n v="48"/>
    <x v="43"/>
    <x v="39"/>
    <x v="1"/>
    <s v="%"/>
    <s v="нед."/>
    <s v="Банк"/>
    <m/>
    <x v="1"/>
    <m/>
  </r>
  <r>
    <x v="35"/>
    <n v="48"/>
    <x v="43"/>
    <x v="39"/>
    <x v="1"/>
    <s v="%"/>
    <s v="нед."/>
    <s v="Банк"/>
    <m/>
    <x v="1"/>
    <m/>
  </r>
  <r>
    <x v="30"/>
    <n v="72"/>
    <x v="44"/>
    <x v="40"/>
    <x v="1"/>
    <s v="%"/>
    <s v="нед."/>
    <s v="Банк"/>
    <m/>
    <x v="1"/>
    <m/>
  </r>
  <r>
    <x v="33"/>
    <n v="74"/>
    <x v="44"/>
    <x v="40"/>
    <x v="1"/>
    <s v="%"/>
    <s v="нед."/>
    <s v="Банк"/>
    <m/>
    <x v="1"/>
    <m/>
  </r>
  <r>
    <x v="34"/>
    <n v="71"/>
    <x v="44"/>
    <x v="40"/>
    <x v="1"/>
    <s v="%"/>
    <s v="нед."/>
    <s v="Банк"/>
    <m/>
    <x v="1"/>
    <m/>
  </r>
  <r>
    <x v="35"/>
    <n v="73"/>
    <x v="44"/>
    <x v="40"/>
    <x v="1"/>
    <s v="%"/>
    <s v="нед."/>
    <s v="Банк"/>
    <m/>
    <x v="1"/>
    <m/>
  </r>
  <r>
    <x v="33"/>
    <n v="550"/>
    <x v="38"/>
    <x v="35"/>
    <x v="1"/>
    <s v="%"/>
    <s v="нед."/>
    <s v="Банк"/>
    <m/>
    <x v="1"/>
    <m/>
  </r>
  <r>
    <x v="34"/>
    <n v="491"/>
    <x v="38"/>
    <x v="35"/>
    <x v="1"/>
    <s v="%"/>
    <s v="нед."/>
    <s v="Банк"/>
    <m/>
    <x v="1"/>
    <m/>
  </r>
  <r>
    <x v="35"/>
    <n v="531"/>
    <x v="38"/>
    <x v="35"/>
    <x v="1"/>
    <s v="%"/>
    <s v="нед."/>
    <s v="Банк"/>
    <m/>
    <x v="1"/>
    <m/>
  </r>
  <r>
    <x v="33"/>
    <n v="312"/>
    <x v="39"/>
    <x v="36"/>
    <x v="1"/>
    <s v="%"/>
    <s v="нед."/>
    <s v="Банк"/>
    <m/>
    <x v="1"/>
    <m/>
  </r>
  <r>
    <x v="34"/>
    <n v="323"/>
    <x v="39"/>
    <x v="36"/>
    <x v="1"/>
    <s v="%"/>
    <s v="нед."/>
    <s v="Банк"/>
    <m/>
    <x v="1"/>
    <m/>
  </r>
  <r>
    <x v="35"/>
    <n v="341"/>
    <x v="39"/>
    <x v="36"/>
    <x v="1"/>
    <s v="%"/>
    <s v="нед."/>
    <s v="Банк"/>
    <m/>
    <x v="1"/>
    <m/>
  </r>
  <r>
    <x v="33"/>
    <n v="251"/>
    <x v="41"/>
    <x v="37"/>
    <x v="1"/>
    <s v="шт."/>
    <s v="нед."/>
    <s v="Банк"/>
    <m/>
    <x v="1"/>
    <m/>
  </r>
  <r>
    <x v="34"/>
    <n v="350"/>
    <x v="41"/>
    <x v="37"/>
    <x v="1"/>
    <s v="шт."/>
    <s v="нед."/>
    <s v="Банк"/>
    <m/>
    <x v="1"/>
    <m/>
  </r>
  <r>
    <x v="35"/>
    <n v="324"/>
    <x v="41"/>
    <x v="37"/>
    <x v="1"/>
    <s v="шт."/>
    <s v="нед."/>
    <s v="Банк"/>
    <m/>
    <x v="1"/>
    <m/>
  </r>
  <r>
    <x v="33"/>
    <n v="4.46"/>
    <x v="3"/>
    <x v="3"/>
    <x v="0"/>
    <s v="повтор."/>
    <s v="нед."/>
    <s v="Банк"/>
    <m/>
    <x v="0"/>
    <m/>
  </r>
  <r>
    <x v="34"/>
    <n v="4.43"/>
    <x v="3"/>
    <x v="3"/>
    <x v="0"/>
    <s v="повтор."/>
    <s v="нед."/>
    <s v="Банк"/>
    <m/>
    <x v="0"/>
    <m/>
  </r>
  <r>
    <x v="35"/>
    <n v="3.72"/>
    <x v="3"/>
    <x v="3"/>
    <x v="0"/>
    <s v="повтор."/>
    <s v="нед."/>
    <s v="Банк"/>
    <m/>
    <x v="0"/>
    <m/>
  </r>
  <r>
    <x v="33"/>
    <n v="5.06"/>
    <x v="4"/>
    <x v="4"/>
    <x v="0"/>
    <s v="%"/>
    <s v="нед."/>
    <s v="Банк"/>
    <m/>
    <x v="0"/>
    <m/>
  </r>
  <r>
    <x v="34"/>
    <n v="4.75"/>
    <x v="4"/>
    <x v="4"/>
    <x v="0"/>
    <s v="%"/>
    <s v="нед."/>
    <s v="Банк"/>
    <m/>
    <x v="0"/>
    <m/>
  </r>
  <r>
    <x v="35"/>
    <n v="4.56"/>
    <x v="4"/>
    <x v="4"/>
    <x v="0"/>
    <s v="%"/>
    <s v="нед."/>
    <s v="Банк"/>
    <m/>
    <x v="0"/>
    <m/>
  </r>
  <r>
    <x v="33"/>
    <n v="712"/>
    <x v="1"/>
    <x v="1"/>
    <x v="0"/>
    <s v="шт."/>
    <s v="нед."/>
    <s v="Банк"/>
    <m/>
    <x v="0"/>
    <m/>
  </r>
  <r>
    <x v="34"/>
    <n v="662"/>
    <x v="1"/>
    <x v="1"/>
    <x v="0"/>
    <s v="шт."/>
    <s v="нед."/>
    <s v="Банк"/>
    <m/>
    <x v="0"/>
    <m/>
  </r>
  <r>
    <x v="35"/>
    <n v="648"/>
    <x v="1"/>
    <x v="1"/>
    <x v="0"/>
    <s v="шт."/>
    <s v="нед."/>
    <s v="Банк"/>
    <m/>
    <x v="0"/>
    <m/>
  </r>
  <r>
    <x v="33"/>
    <n v="1115"/>
    <x v="2"/>
    <x v="2"/>
    <x v="0"/>
    <s v="чел."/>
    <s v="нед."/>
    <s v="Банк"/>
    <m/>
    <x v="0"/>
    <m/>
  </r>
  <r>
    <x v="34"/>
    <n v="960"/>
    <x v="2"/>
    <x v="2"/>
    <x v="0"/>
    <s v="чел."/>
    <s v="нед."/>
    <s v="Банк"/>
    <m/>
    <x v="0"/>
    <m/>
  </r>
  <r>
    <x v="35"/>
    <n v="1104"/>
    <x v="2"/>
    <x v="2"/>
    <x v="0"/>
    <s v="чел."/>
    <s v="нед."/>
    <s v="Банк"/>
    <m/>
    <x v="0"/>
    <m/>
  </r>
  <r>
    <x v="33"/>
    <n v="393"/>
    <x v="7"/>
    <x v="7"/>
    <x v="1"/>
    <s v="шт."/>
    <s v="нед."/>
    <s v="Банк"/>
    <m/>
    <x v="1"/>
    <m/>
  </r>
  <r>
    <x v="34"/>
    <n v="367"/>
    <x v="7"/>
    <x v="7"/>
    <x v="1"/>
    <s v="шт."/>
    <s v="нед."/>
    <s v="Банк"/>
    <m/>
    <x v="1"/>
    <m/>
  </r>
  <r>
    <x v="35"/>
    <n v="394"/>
    <x v="7"/>
    <x v="7"/>
    <x v="1"/>
    <s v="шт."/>
    <s v="нед."/>
    <s v="Банк"/>
    <m/>
    <x v="1"/>
    <m/>
  </r>
  <r>
    <x v="33"/>
    <n v="550"/>
    <x v="6"/>
    <x v="6"/>
    <x v="1"/>
    <s v="чел."/>
    <s v="нед."/>
    <s v="Банк"/>
    <m/>
    <x v="1"/>
    <m/>
  </r>
  <r>
    <x v="34"/>
    <n v="492"/>
    <x v="6"/>
    <x v="6"/>
    <x v="1"/>
    <s v="чел."/>
    <s v="нед."/>
    <s v="Банк"/>
    <m/>
    <x v="1"/>
    <m/>
  </r>
  <r>
    <x v="35"/>
    <n v="531"/>
    <x v="6"/>
    <x v="6"/>
    <x v="1"/>
    <s v="чел."/>
    <s v="нед."/>
    <s v="Банк"/>
    <m/>
    <x v="1"/>
    <m/>
  </r>
  <r>
    <x v="33"/>
    <n v="31.16"/>
    <x v="5"/>
    <x v="5"/>
    <x v="1"/>
    <s v="%"/>
    <s v="нед."/>
    <s v="Банк"/>
    <m/>
    <x v="1"/>
    <m/>
  </r>
  <r>
    <x v="34"/>
    <n v="28.66"/>
    <x v="5"/>
    <x v="5"/>
    <x v="1"/>
    <s v="%"/>
    <s v="нед."/>
    <s v="Банк"/>
    <m/>
    <x v="1"/>
    <m/>
  </r>
  <r>
    <x v="35"/>
    <n v="28.09"/>
    <x v="5"/>
    <x v="5"/>
    <x v="1"/>
    <s v="%"/>
    <s v="нед."/>
    <s v="Банк"/>
    <m/>
    <x v="1"/>
    <m/>
  </r>
  <r>
    <x v="33"/>
    <n v="1.99"/>
    <x v="8"/>
    <x v="8"/>
    <x v="1"/>
    <s v="нед."/>
    <s v="нед."/>
    <s v="Банк"/>
    <m/>
    <x v="1"/>
    <m/>
  </r>
  <r>
    <x v="34"/>
    <n v="2.56"/>
    <x v="8"/>
    <x v="8"/>
    <x v="1"/>
    <s v="нед."/>
    <s v="нед."/>
    <s v="Банк"/>
    <m/>
    <x v="1"/>
    <m/>
  </r>
  <r>
    <x v="35"/>
    <n v="2.4"/>
    <x v="8"/>
    <x v="8"/>
    <x v="1"/>
    <s v="нед."/>
    <s v="нед."/>
    <s v="Банк"/>
    <m/>
    <x v="1"/>
    <m/>
  </r>
  <r>
    <x v="36"/>
    <m/>
    <x v="45"/>
    <x v="41"/>
    <x v="3"/>
    <m/>
    <m/>
    <m/>
    <m/>
    <x v="0"/>
    <m/>
  </r>
  <r>
    <x v="36"/>
    <m/>
    <x v="45"/>
    <x v="41"/>
    <x v="3"/>
    <m/>
    <m/>
    <m/>
    <m/>
    <x v="0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Сводная таблица2" cacheId="0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1:AN52" firstHeaderRow="1" firstDataRow="2" firstDataCol="3"/>
  <pivotFields count="11">
    <pivotField axis="axisCol" showAll="0">
      <items count="38">
        <item x="31"/>
        <item x="32"/>
        <item x="0"/>
        <item x="1"/>
        <item x="2"/>
        <item x="3"/>
        <item x="4"/>
        <item x="5"/>
        <item x="6"/>
        <item x="7"/>
        <item x="8"/>
        <item n="45960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6"/>
        <item x="34"/>
        <item x="35"/>
        <item t="default"/>
      </items>
    </pivotField>
    <pivotField dataField="1" showAll="0"/>
    <pivotField axis="axisRow" outline="0" showAll="0" defaultSubtotal="0">
      <items count="46">
        <item x="0"/>
        <item x="5"/>
        <item x="9"/>
        <item x="10"/>
        <item x="11"/>
        <item x="12"/>
        <item x="13"/>
        <item x="14"/>
        <item x="15"/>
        <item x="16"/>
        <item x="17"/>
        <item x="1"/>
        <item x="18"/>
        <item x="19"/>
        <item x="20"/>
        <item x="21"/>
        <item x="22"/>
        <item x="23"/>
        <item x="24"/>
        <item x="25"/>
        <item x="26"/>
        <item x="27"/>
        <item x="2"/>
        <item x="28"/>
        <item x="29"/>
        <item x="30"/>
        <item x="31"/>
        <item x="32"/>
        <item x="33"/>
        <item x="34"/>
        <item x="35"/>
        <item x="36"/>
        <item x="37"/>
        <item x="3"/>
        <item x="38"/>
        <item x="39"/>
        <item x="40"/>
        <item x="41"/>
        <item x="4"/>
        <item x="8"/>
        <item x="7"/>
        <item x="6"/>
        <item x="45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42">
        <item sd="0" x="15"/>
        <item sd="0" x="18"/>
        <item sd="0" x="21"/>
        <item sd="0" x="24"/>
        <item sd="0" x="27"/>
        <item sd="0" x="30"/>
        <item sd="0" x="16"/>
        <item sd="0" x="19"/>
        <item sd="0" x="22"/>
        <item sd="0" x="25"/>
        <item sd="0" x="28"/>
        <item sd="0" x="31"/>
        <item sd="0" x="12"/>
        <item sd="0" x="11"/>
        <item sd="0" x="32"/>
        <item sd="0" x="17"/>
        <item x="0"/>
        <item sd="0" x="9"/>
        <item sd="0" x="37"/>
        <item sd="0" x="13"/>
        <item sd="0" x="14"/>
        <item sd="0" x="23"/>
        <item sd="0" x="20"/>
        <item sd="0" x="26"/>
        <item sd="0" x="29"/>
        <item sd="0" x="7"/>
        <item sd="0" x="1"/>
        <item sd="0" x="35"/>
        <item sd="0" x="6"/>
        <item sd="0" x="2"/>
        <item sd="0" x="36"/>
        <item sd="0" x="10"/>
        <item x="3"/>
        <item sd="0" x="8"/>
        <item sd="0" x="5"/>
        <item sd="0" x="4"/>
        <item sd="0" x="34"/>
        <item sd="0" x="33"/>
        <item sd="0" x="41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4">
        <item x="0"/>
        <item x="2"/>
        <item x="1"/>
        <item sd="0" x="3"/>
      </items>
    </pivotField>
    <pivotField showAll="0"/>
    <pivotField showAll="0"/>
    <pivotField showAll="0"/>
    <pivotField showAll="0"/>
    <pivotField axis="axisRow" showAll="0">
      <items count="30">
        <item x="7"/>
        <item x="5"/>
        <item x="8"/>
        <item x="6"/>
        <item x="13"/>
        <item x="4"/>
        <item x="3"/>
        <item x="9"/>
        <item x="2"/>
        <item x="10"/>
        <item x="12"/>
        <item x="11"/>
        <item x="18"/>
        <item x="19"/>
        <item x="20"/>
        <item x="21"/>
        <item x="1"/>
        <item x="17"/>
        <item x="15"/>
        <item x="16"/>
        <item x="14"/>
        <item x="22"/>
        <item x="23"/>
        <item x="24"/>
        <item x="25"/>
        <item x="26"/>
        <item x="0"/>
        <item x="27"/>
        <item x="28"/>
        <item t="default"/>
      </items>
    </pivotField>
    <pivotField showAll="0"/>
  </pivotFields>
  <rowFields count="4">
    <field x="4"/>
    <field x="2"/>
    <field x="3"/>
    <field x="9"/>
  </rowFields>
  <rowItems count="50">
    <i>
      <x/>
    </i>
    <i r="1">
      <x/>
      <x v="16"/>
      <x v="26"/>
    </i>
    <i r="1">
      <x v="2"/>
      <x v="17"/>
    </i>
    <i r="1">
      <x v="3"/>
      <x v="31"/>
    </i>
    <i r="1">
      <x v="4"/>
      <x v="13"/>
    </i>
    <i r="1">
      <x v="5"/>
      <x v="12"/>
    </i>
    <i r="1">
      <x v="11"/>
      <x v="26"/>
    </i>
    <i r="1">
      <x v="22"/>
      <x v="29"/>
    </i>
    <i r="1">
      <x v="29"/>
      <x v="14"/>
    </i>
    <i r="1">
      <x v="30"/>
      <x v="36"/>
    </i>
    <i r="1">
      <x v="31"/>
      <x v="27"/>
    </i>
    <i r="1">
      <x v="32"/>
      <x v="30"/>
    </i>
    <i r="1">
      <x v="33"/>
      <x v="32"/>
      <x v="26"/>
    </i>
    <i r="1">
      <x v="38"/>
      <x v="35"/>
    </i>
    <i>
      <x v="1"/>
    </i>
    <i r="1">
      <x v="36"/>
      <x v="18"/>
    </i>
    <i>
      <x v="2"/>
    </i>
    <i r="1">
      <x v="1"/>
      <x v="34"/>
    </i>
    <i r="1">
      <x v="6"/>
      <x v="19"/>
    </i>
    <i r="1">
      <x v="7"/>
      <x v="20"/>
    </i>
    <i r="1">
      <x v="8"/>
      <x/>
    </i>
    <i r="1">
      <x v="9"/>
      <x v="6"/>
    </i>
    <i r="1">
      <x v="10"/>
      <x v="15"/>
    </i>
    <i r="1">
      <x v="12"/>
      <x v="1"/>
    </i>
    <i r="1">
      <x v="13"/>
      <x v="7"/>
    </i>
    <i r="1">
      <x v="14"/>
      <x v="22"/>
    </i>
    <i r="1">
      <x v="15"/>
      <x v="2"/>
    </i>
    <i r="1">
      <x v="16"/>
      <x v="8"/>
    </i>
    <i r="1">
      <x v="17"/>
      <x v="21"/>
    </i>
    <i r="1">
      <x v="18"/>
      <x v="3"/>
    </i>
    <i r="1">
      <x v="19"/>
      <x v="9"/>
    </i>
    <i r="1">
      <x v="20"/>
      <x v="23"/>
    </i>
    <i r="1">
      <x v="21"/>
      <x v="4"/>
    </i>
    <i r="1">
      <x v="23"/>
      <x v="10"/>
    </i>
    <i r="1">
      <x v="24"/>
      <x v="24"/>
    </i>
    <i r="1">
      <x v="25"/>
      <x v="5"/>
    </i>
    <i r="1">
      <x v="26"/>
      <x v="11"/>
    </i>
    <i r="1">
      <x v="27"/>
      <x v="14"/>
    </i>
    <i r="1">
      <x v="28"/>
      <x v="37"/>
    </i>
    <i r="1">
      <x v="34"/>
      <x v="27"/>
    </i>
    <i r="1">
      <x v="35"/>
      <x v="30"/>
    </i>
    <i r="1">
      <x v="37"/>
      <x v="18"/>
    </i>
    <i r="1">
      <x v="39"/>
      <x v="33"/>
    </i>
    <i r="1">
      <x v="40"/>
      <x v="25"/>
    </i>
    <i r="1">
      <x v="41"/>
      <x v="28"/>
    </i>
    <i r="1">
      <x v="43"/>
      <x v="39"/>
      <x v="26"/>
    </i>
    <i r="1">
      <x v="44"/>
      <x v="40"/>
      <x v="16"/>
    </i>
    <i r="1">
      <x v="45"/>
      <x v="41"/>
      <x v="16"/>
    </i>
    <i>
      <x v="3"/>
    </i>
    <i t="grand">
      <x/>
    </i>
  </rowItems>
  <colFields count="1">
    <field x="0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</colItems>
  <dataFields count="1">
    <dataField name="Сумма по полю value_s" fld="1" baseField="8" baseItem="16"/>
  </dataFields>
  <formats count="6">
    <format>
      <pivotArea field="2" type="button" dataOnly="0" labelOnly="1" outline="0" axis="axisRow" fieldPosition="1"/>
    </format>
    <format>
      <pivotArea field="3" type="button" dataOnly="0" labelOnly="1" outline="0" axis="axisRow" fieldPosition="2"/>
    </format>
    <format>
      <pivotArea field="9" type="button" dataOnly="0" labelOnly="1" outline="0" axis="axisRow" fieldPosition="3"/>
    </format>
    <format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Ruler="1" topLeftCell="A1" zoomScale="100" workbookViewId="0">
      <pane xSplit="3" topLeftCell="D1" activePane="topRight" state="frozen"/>
      <selection activeCell="B13" activeCellId="0" sqref="B13"/>
    </sheetView>
  </sheetViews>
  <sheetFormatPr defaultRowHeight="14.25"/>
  <cols>
    <col customWidth="1" min="1" max="1" width="23"/>
    <col customWidth="1" min="2" max="2" width="57.8515625"/>
    <col customWidth="1" min="3" max="3" width="14.7109375"/>
    <col customWidth="1" min="4" max="69" width="10.28125"/>
    <col customWidth="1" min="70" max="72" width="8.7109375"/>
  </cols>
  <sheetData>
    <row r="1">
      <c r="A1" t="s">
        <v>0</v>
      </c>
      <c r="D1" t="s">
        <v>1</v>
      </c>
    </row>
    <row r="2" s="1" customFormat="1">
      <c r="A2" t="s">
        <v>2</v>
      </c>
      <c r="B2" t="s">
        <v>3</v>
      </c>
      <c r="C2" t="s">
        <v>4</v>
      </c>
      <c r="D2" s="2">
        <v>45810</v>
      </c>
      <c r="E2" s="2">
        <v>45840</v>
      </c>
      <c r="F2" s="2">
        <v>45897</v>
      </c>
      <c r="G2" s="2">
        <v>45904</v>
      </c>
      <c r="H2" s="2">
        <v>45911</v>
      </c>
      <c r="I2" s="2">
        <v>45918</v>
      </c>
      <c r="J2" s="2">
        <v>45925</v>
      </c>
      <c r="K2" s="2">
        <v>45932</v>
      </c>
      <c r="L2" s="2">
        <v>45939</v>
      </c>
      <c r="M2" s="2">
        <v>45946</v>
      </c>
      <c r="N2" s="2">
        <v>45953</v>
      </c>
      <c r="O2" s="2">
        <v>45960</v>
      </c>
      <c r="P2" s="2">
        <v>45967</v>
      </c>
      <c r="Q2" s="2">
        <v>45974</v>
      </c>
      <c r="R2" s="2">
        <v>45981</v>
      </c>
      <c r="S2" s="2">
        <v>45988</v>
      </c>
      <c r="T2" s="2">
        <v>45995</v>
      </c>
      <c r="U2" s="2">
        <v>46002</v>
      </c>
      <c r="V2" s="2">
        <v>46009</v>
      </c>
      <c r="W2" s="2">
        <v>46016</v>
      </c>
      <c r="X2" s="2">
        <v>46037</v>
      </c>
      <c r="Y2" s="2">
        <v>46044</v>
      </c>
      <c r="Z2" s="2">
        <v>46051</v>
      </c>
      <c r="AA2" s="2">
        <v>46058</v>
      </c>
      <c r="AB2" s="2">
        <v>46065</v>
      </c>
      <c r="AC2" s="2">
        <v>46072</v>
      </c>
      <c r="AD2" s="2">
        <v>46079</v>
      </c>
      <c r="AE2" s="2">
        <v>46086</v>
      </c>
      <c r="AF2" s="2">
        <v>46093</v>
      </c>
      <c r="AG2" s="2">
        <v>46100</v>
      </c>
      <c r="AH2" s="2">
        <v>46107</v>
      </c>
      <c r="AI2" s="2">
        <v>46114</v>
      </c>
      <c r="AJ2" s="2">
        <v>46121</v>
      </c>
      <c r="AK2" s="2">
        <v>46128</v>
      </c>
      <c r="AL2" s="2" t="s">
        <v>5</v>
      </c>
      <c r="AM2" s="2">
        <v>46135</v>
      </c>
      <c r="AN2" s="2">
        <v>46142</v>
      </c>
    </row>
    <row r="3">
      <c r="A3" s="3">
        <v>1</v>
      </c>
    </row>
    <row r="4">
      <c r="A4" s="4" t="s">
        <v>6</v>
      </c>
      <c r="B4" s="5" t="s">
        <v>7</v>
      </c>
      <c r="C4" s="3" t="s">
        <v>5</v>
      </c>
      <c r="F4">
        <v>34</v>
      </c>
      <c r="G4">
        <v>34</v>
      </c>
      <c r="H4">
        <v>32</v>
      </c>
      <c r="I4">
        <v>32</v>
      </c>
      <c r="J4">
        <v>25</v>
      </c>
      <c r="K4">
        <v>25</v>
      </c>
      <c r="L4">
        <v>25</v>
      </c>
      <c r="M4">
        <v>25</v>
      </c>
      <c r="N4">
        <v>25</v>
      </c>
      <c r="O4">
        <v>23</v>
      </c>
      <c r="P4">
        <v>23</v>
      </c>
      <c r="Q4">
        <v>23</v>
      </c>
      <c r="R4">
        <v>23</v>
      </c>
      <c r="S4">
        <v>25</v>
      </c>
      <c r="T4">
        <v>24</v>
      </c>
      <c r="U4">
        <v>24</v>
      </c>
      <c r="V4">
        <v>16</v>
      </c>
      <c r="W4">
        <v>16</v>
      </c>
      <c r="X4">
        <v>16</v>
      </c>
      <c r="Y4">
        <v>16</v>
      </c>
      <c r="Z4">
        <v>16</v>
      </c>
      <c r="AA4">
        <v>16</v>
      </c>
      <c r="AB4">
        <v>16</v>
      </c>
      <c r="AC4">
        <v>16</v>
      </c>
      <c r="AD4">
        <v>16</v>
      </c>
      <c r="AE4">
        <v>16</v>
      </c>
      <c r="AF4">
        <v>16</v>
      </c>
      <c r="AG4">
        <v>16</v>
      </c>
      <c r="AH4">
        <v>16</v>
      </c>
      <c r="AI4">
        <v>16</v>
      </c>
      <c r="AJ4">
        <v>16</v>
      </c>
      <c r="AK4">
        <v>20</v>
      </c>
      <c r="AM4">
        <v>20</v>
      </c>
      <c r="AN4">
        <v>20</v>
      </c>
    </row>
    <row r="5">
      <c r="A5" s="4" t="s">
        <v>8</v>
      </c>
      <c r="B5" s="3" t="s">
        <v>9</v>
      </c>
      <c r="D5">
        <v>31</v>
      </c>
      <c r="E5">
        <v>34</v>
      </c>
      <c r="F5">
        <v>34</v>
      </c>
      <c r="G5">
        <v>34</v>
      </c>
      <c r="H5">
        <v>34</v>
      </c>
      <c r="I5">
        <v>34</v>
      </c>
      <c r="J5">
        <v>34</v>
      </c>
      <c r="K5">
        <v>34</v>
      </c>
      <c r="L5">
        <v>34</v>
      </c>
      <c r="M5">
        <v>34</v>
      </c>
      <c r="N5">
        <v>34</v>
      </c>
      <c r="O5">
        <v>34</v>
      </c>
      <c r="P5">
        <v>34</v>
      </c>
      <c r="Q5">
        <v>34</v>
      </c>
      <c r="R5">
        <v>34</v>
      </c>
      <c r="S5">
        <v>36</v>
      </c>
      <c r="T5">
        <v>36</v>
      </c>
      <c r="U5">
        <v>36</v>
      </c>
      <c r="V5">
        <v>36</v>
      </c>
      <c r="W5">
        <v>36</v>
      </c>
      <c r="X5">
        <v>36</v>
      </c>
      <c r="Y5">
        <v>36</v>
      </c>
      <c r="Z5">
        <v>36</v>
      </c>
      <c r="AA5">
        <v>36</v>
      </c>
      <c r="AB5">
        <v>36</v>
      </c>
      <c r="AC5">
        <v>36</v>
      </c>
      <c r="AD5">
        <v>36</v>
      </c>
      <c r="AE5">
        <v>36</v>
      </c>
      <c r="AF5">
        <v>36</v>
      </c>
      <c r="AG5">
        <v>36</v>
      </c>
      <c r="AH5">
        <v>36</v>
      </c>
      <c r="AI5">
        <v>36</v>
      </c>
      <c r="AJ5">
        <v>36</v>
      </c>
      <c r="AK5">
        <v>40</v>
      </c>
      <c r="AM5">
        <v>40</v>
      </c>
      <c r="AN5">
        <v>40</v>
      </c>
    </row>
    <row r="6">
      <c r="A6" s="4" t="s">
        <v>10</v>
      </c>
      <c r="B6" s="3" t="s">
        <v>11</v>
      </c>
      <c r="H6">
        <v>-2</v>
      </c>
      <c r="J6">
        <v>-2</v>
      </c>
      <c r="T6">
        <v>-1</v>
      </c>
      <c r="V6">
        <v>-3</v>
      </c>
    </row>
    <row r="7">
      <c r="A7" s="4" t="s">
        <v>12</v>
      </c>
      <c r="B7" s="3" t="s">
        <v>13</v>
      </c>
      <c r="J7">
        <v>-5</v>
      </c>
      <c r="O7">
        <v>-2</v>
      </c>
      <c r="V7">
        <v>-5</v>
      </c>
    </row>
    <row r="8">
      <c r="A8" s="4" t="s">
        <v>14</v>
      </c>
      <c r="B8" s="3" t="s">
        <v>15</v>
      </c>
      <c r="E8">
        <v>3</v>
      </c>
      <c r="S8">
        <v>2</v>
      </c>
      <c r="AK8">
        <v>4</v>
      </c>
    </row>
    <row r="9">
      <c r="A9" s="4" t="s">
        <v>16</v>
      </c>
      <c r="B9" s="5" t="s">
        <v>17</v>
      </c>
      <c r="F9">
        <v>515</v>
      </c>
      <c r="G9">
        <v>546</v>
      </c>
      <c r="H9">
        <v>499</v>
      </c>
      <c r="I9">
        <v>518</v>
      </c>
      <c r="J9">
        <v>497</v>
      </c>
      <c r="K9">
        <v>517</v>
      </c>
      <c r="L9">
        <v>433</v>
      </c>
      <c r="M9">
        <v>448</v>
      </c>
      <c r="N9">
        <v>473</v>
      </c>
      <c r="O9">
        <v>504</v>
      </c>
      <c r="P9">
        <v>573</v>
      </c>
      <c r="Q9">
        <v>516</v>
      </c>
      <c r="R9">
        <v>487</v>
      </c>
      <c r="S9">
        <v>467</v>
      </c>
      <c r="T9">
        <v>499</v>
      </c>
      <c r="U9">
        <v>625</v>
      </c>
      <c r="V9">
        <v>891</v>
      </c>
      <c r="W9">
        <v>903</v>
      </c>
      <c r="X9">
        <v>857</v>
      </c>
      <c r="Y9">
        <v>807</v>
      </c>
      <c r="Z9">
        <v>791</v>
      </c>
      <c r="AA9">
        <v>759</v>
      </c>
      <c r="AB9">
        <v>734</v>
      </c>
      <c r="AC9">
        <v>733</v>
      </c>
      <c r="AD9">
        <v>659</v>
      </c>
      <c r="AE9">
        <v>609</v>
      </c>
      <c r="AF9">
        <v>650</v>
      </c>
      <c r="AG9">
        <v>688</v>
      </c>
      <c r="AH9">
        <v>651</v>
      </c>
      <c r="AI9">
        <v>574</v>
      </c>
      <c r="AJ9">
        <v>635</v>
      </c>
      <c r="AK9">
        <v>712</v>
      </c>
      <c r="AM9">
        <v>662</v>
      </c>
      <c r="AN9">
        <v>648</v>
      </c>
    </row>
    <row r="10">
      <c r="A10" s="4" t="s">
        <v>18</v>
      </c>
      <c r="B10" s="5" t="s">
        <v>19</v>
      </c>
      <c r="F10">
        <v>621</v>
      </c>
      <c r="G10">
        <v>646</v>
      </c>
      <c r="H10">
        <v>599</v>
      </c>
      <c r="I10">
        <v>611</v>
      </c>
      <c r="J10">
        <v>587</v>
      </c>
      <c r="K10">
        <v>612</v>
      </c>
      <c r="L10">
        <v>504</v>
      </c>
      <c r="M10">
        <v>541</v>
      </c>
      <c r="N10">
        <v>551</v>
      </c>
      <c r="O10">
        <v>597</v>
      </c>
      <c r="P10">
        <v>652</v>
      </c>
      <c r="Q10">
        <v>602</v>
      </c>
      <c r="R10">
        <v>586</v>
      </c>
      <c r="S10">
        <v>639</v>
      </c>
      <c r="T10">
        <v>648</v>
      </c>
      <c r="U10">
        <v>998</v>
      </c>
      <c r="V10">
        <v>1605</v>
      </c>
      <c r="W10">
        <v>1628</v>
      </c>
      <c r="X10">
        <v>1496</v>
      </c>
      <c r="Y10">
        <v>1279</v>
      </c>
      <c r="Z10">
        <v>1309</v>
      </c>
      <c r="AA10">
        <v>1071</v>
      </c>
      <c r="AB10">
        <v>1123</v>
      </c>
      <c r="AC10">
        <v>1037</v>
      </c>
      <c r="AD10">
        <v>872</v>
      </c>
      <c r="AE10">
        <v>790</v>
      </c>
      <c r="AF10">
        <v>943</v>
      </c>
      <c r="AG10">
        <v>993</v>
      </c>
      <c r="AH10">
        <v>955</v>
      </c>
      <c r="AI10">
        <v>728</v>
      </c>
      <c r="AJ10">
        <v>893</v>
      </c>
      <c r="AK10">
        <v>1115</v>
      </c>
      <c r="AM10">
        <v>960</v>
      </c>
      <c r="AN10">
        <v>1104</v>
      </c>
    </row>
    <row r="11">
      <c r="A11" s="4" t="s">
        <v>20</v>
      </c>
      <c r="B11" s="5" t="s">
        <v>21</v>
      </c>
      <c r="AI11">
        <v>60</v>
      </c>
    </row>
    <row r="12">
      <c r="A12" s="4" t="s">
        <v>22</v>
      </c>
      <c r="B12" s="5" t="s">
        <v>23</v>
      </c>
      <c r="AI12">
        <v>5.0999999999999996</v>
      </c>
    </row>
    <row r="13">
      <c r="A13" s="4" t="s">
        <v>24</v>
      </c>
      <c r="B13" s="3" t="s">
        <v>25</v>
      </c>
      <c r="F13">
        <v>1534</v>
      </c>
      <c r="G13">
        <v>1250</v>
      </c>
      <c r="H13">
        <v>1340</v>
      </c>
      <c r="I13">
        <v>1217</v>
      </c>
      <c r="J13">
        <v>1378</v>
      </c>
      <c r="K13">
        <v>920</v>
      </c>
      <c r="M13">
        <v>966</v>
      </c>
      <c r="N13">
        <v>1093</v>
      </c>
      <c r="O13">
        <v>1199</v>
      </c>
      <c r="P13">
        <v>1190</v>
      </c>
      <c r="Q13">
        <v>1133</v>
      </c>
      <c r="R13">
        <v>1097</v>
      </c>
      <c r="S13">
        <v>1233</v>
      </c>
      <c r="T13">
        <v>779</v>
      </c>
      <c r="U13">
        <v>1146</v>
      </c>
      <c r="V13">
        <v>1831</v>
      </c>
      <c r="W13">
        <v>1893</v>
      </c>
      <c r="X13">
        <v>1702</v>
      </c>
      <c r="Y13">
        <v>1508</v>
      </c>
      <c r="Z13">
        <v>1522</v>
      </c>
      <c r="AA13">
        <v>1255</v>
      </c>
      <c r="AB13">
        <v>1274</v>
      </c>
      <c r="AC13">
        <v>1206</v>
      </c>
      <c r="AD13">
        <v>1034</v>
      </c>
      <c r="AE13">
        <v>905</v>
      </c>
      <c r="AF13">
        <v>1078</v>
      </c>
      <c r="AG13">
        <v>1111</v>
      </c>
      <c r="AH13">
        <v>1073</v>
      </c>
      <c r="AI13">
        <v>823</v>
      </c>
      <c r="AJ13">
        <v>1011</v>
      </c>
      <c r="AK13">
        <v>1346</v>
      </c>
      <c r="AM13">
        <v>1108</v>
      </c>
      <c r="AN13">
        <v>1157</v>
      </c>
    </row>
    <row r="14">
      <c r="A14" s="4" t="s">
        <v>26</v>
      </c>
      <c r="B14" s="3" t="s">
        <v>27</v>
      </c>
      <c r="F14">
        <v>1493</v>
      </c>
      <c r="G14">
        <v>1739</v>
      </c>
      <c r="H14">
        <v>1539</v>
      </c>
      <c r="I14">
        <v>1480</v>
      </c>
      <c r="J14">
        <v>1488</v>
      </c>
      <c r="K14">
        <v>1298</v>
      </c>
      <c r="M14">
        <v>1275</v>
      </c>
      <c r="N14">
        <v>1337</v>
      </c>
      <c r="O14">
        <v>1437</v>
      </c>
      <c r="P14">
        <v>1243</v>
      </c>
      <c r="Q14">
        <v>1470</v>
      </c>
      <c r="R14">
        <v>1391</v>
      </c>
      <c r="S14">
        <v>1369</v>
      </c>
      <c r="T14">
        <v>949</v>
      </c>
      <c r="U14">
        <v>1046</v>
      </c>
      <c r="V14">
        <v>1299</v>
      </c>
      <c r="W14">
        <v>1610</v>
      </c>
      <c r="X14">
        <v>1335</v>
      </c>
      <c r="Y14">
        <v>1258</v>
      </c>
      <c r="Z14">
        <v>1347</v>
      </c>
      <c r="AA14">
        <v>1180</v>
      </c>
      <c r="AB14">
        <v>1237</v>
      </c>
      <c r="AC14">
        <v>1164</v>
      </c>
      <c r="AD14">
        <v>1064</v>
      </c>
      <c r="AE14">
        <v>933</v>
      </c>
      <c r="AF14">
        <v>1000</v>
      </c>
      <c r="AG14">
        <v>908</v>
      </c>
      <c r="AH14">
        <v>999</v>
      </c>
      <c r="AI14">
        <v>801</v>
      </c>
      <c r="AJ14">
        <v>840</v>
      </c>
      <c r="AK14">
        <v>933</v>
      </c>
      <c r="AM14">
        <v>928</v>
      </c>
      <c r="AN14">
        <v>936</v>
      </c>
    </row>
    <row r="15">
      <c r="A15" s="4" t="s">
        <v>28</v>
      </c>
      <c r="B15" s="3" t="s">
        <v>29</v>
      </c>
      <c r="C15" s="3" t="s">
        <v>5</v>
      </c>
      <c r="F15">
        <v>2.2157953281423803</v>
      </c>
      <c r="G15">
        <v>2.3607907742998351</v>
      </c>
      <c r="H15">
        <v>2.5322230267921797</v>
      </c>
      <c r="I15">
        <v>2.6192821956368753</v>
      </c>
      <c r="J15">
        <v>2.7321474773609311</v>
      </c>
      <c r="K15">
        <v>2.7244967880085653</v>
      </c>
      <c r="L15">
        <v>2.7191525423728811</v>
      </c>
      <c r="M15">
        <v>2.9485117691723617</v>
      </c>
      <c r="N15">
        <v>2.948323983169705</v>
      </c>
      <c r="O15">
        <v>3.2097378277153559</v>
      </c>
      <c r="P15">
        <v>2.4809130645944637</v>
      </c>
      <c r="Q15">
        <v>3.2229976019184652</v>
      </c>
      <c r="R15">
        <v>3.189367710251688</v>
      </c>
      <c r="S15">
        <v>3.4492647058823529</v>
      </c>
      <c r="T15">
        <v>3.2472006890611542</v>
      </c>
      <c r="U15">
        <v>2.9541432019308127</v>
      </c>
      <c r="V15">
        <v>3.0016515276630882</v>
      </c>
      <c r="W15">
        <v>3.3192771084337349</v>
      </c>
      <c r="X15">
        <v>2.7834699453551912</v>
      </c>
      <c r="Y15">
        <v>2.8310469314079421</v>
      </c>
      <c r="Z15">
        <v>3.0996835443037973</v>
      </c>
      <c r="AA15">
        <v>3.6688230584467569</v>
      </c>
      <c r="AB15">
        <v>3.8831677524429971</v>
      </c>
      <c r="AC15">
        <v>3.9102680965147454</v>
      </c>
      <c r="AD15">
        <v>3.9313346228239845</v>
      </c>
      <c r="AE15">
        <v>4.0031088082901558</v>
      </c>
      <c r="AF15">
        <v>4.2475355969331874</v>
      </c>
      <c r="AG15">
        <v>3.732408325074331</v>
      </c>
      <c r="AH15">
        <v>4.2774755168661587</v>
      </c>
      <c r="AI15">
        <v>4.2339707536557931</v>
      </c>
      <c r="AJ15">
        <v>3.6800748362956033</v>
      </c>
      <c r="AK15">
        <v>4.46</v>
      </c>
      <c r="AM15">
        <v>4.4299999999999997</v>
      </c>
      <c r="AN15">
        <v>3.7200000000000002</v>
      </c>
    </row>
    <row r="16">
      <c r="A16" s="4" t="s">
        <v>30</v>
      </c>
      <c r="B16" s="3" t="s">
        <v>31</v>
      </c>
      <c r="F16">
        <v>3.1382140173559439</v>
      </c>
      <c r="G16">
        <v>3.2756227628022501</v>
      </c>
      <c r="H16">
        <v>2.7303653741366363</v>
      </c>
      <c r="I16">
        <v>2.7194532132410436</v>
      </c>
      <c r="J16">
        <v>3.2892069591581321</v>
      </c>
      <c r="K16">
        <v>2.9816913687881428</v>
      </c>
      <c r="L16">
        <v>2.8400416377515612</v>
      </c>
      <c r="M16">
        <v>2.7733686836092168</v>
      </c>
      <c r="N16">
        <v>2.9374268699463855</v>
      </c>
      <c r="O16">
        <v>3.132497220542628</v>
      </c>
      <c r="P16">
        <v>3.4090909090909087</v>
      </c>
      <c r="Q16">
        <v>2.9072490923995784</v>
      </c>
      <c r="R16">
        <v>2.837806095484174</v>
      </c>
      <c r="S16">
        <v>2.5038417617120867</v>
      </c>
      <c r="T16">
        <v>2.2068492367503287</v>
      </c>
      <c r="U16">
        <v>2.1318523826585452</v>
      </c>
      <c r="V16">
        <v>4.0936533647474596</v>
      </c>
      <c r="W16">
        <v>4.1897033782505417</v>
      </c>
      <c r="X16">
        <v>4.3614913339558612</v>
      </c>
      <c r="Y16">
        <v>3.8925067658998649</v>
      </c>
      <c r="Z16">
        <v>3.5422054521558484</v>
      </c>
      <c r="AA16">
        <v>3.2970267883426549</v>
      </c>
      <c r="AB16">
        <v>3.2176443301142834</v>
      </c>
      <c r="AC16">
        <v>2.8854518065898627</v>
      </c>
      <c r="AD16">
        <v>2.7814288742845026</v>
      </c>
      <c r="AE16">
        <v>2.7144914034047596</v>
      </c>
      <c r="AF16">
        <v>2.5699490698318663</v>
      </c>
      <c r="AG16">
        <v>2.8979686740366528</v>
      </c>
      <c r="AH16">
        <v>2.687156232942856</v>
      </c>
      <c r="AI16">
        <v>2.534100731558198</v>
      </c>
      <c r="AJ16">
        <v>2.9754477974919111</v>
      </c>
      <c r="AK16">
        <v>5.0599999999999996</v>
      </c>
      <c r="AM16">
        <v>4.75</v>
      </c>
      <c r="AN16">
        <v>4.5599999999999996</v>
      </c>
    </row>
    <row r="17">
      <c r="A17" s="3">
        <v>2</v>
      </c>
    </row>
    <row r="18">
      <c r="A18" s="4" t="s">
        <v>32</v>
      </c>
      <c r="B18" s="3" t="s">
        <v>33</v>
      </c>
      <c r="H18">
        <v>924</v>
      </c>
      <c r="I18">
        <v>987</v>
      </c>
      <c r="J18">
        <v>897</v>
      </c>
      <c r="K18">
        <v>854</v>
      </c>
      <c r="L18">
        <v>688</v>
      </c>
      <c r="M18">
        <v>683</v>
      </c>
      <c r="N18">
        <v>806</v>
      </c>
      <c r="O18">
        <v>634</v>
      </c>
      <c r="P18">
        <v>604</v>
      </c>
      <c r="Q18">
        <v>814</v>
      </c>
      <c r="R18">
        <v>905</v>
      </c>
      <c r="S18">
        <v>805</v>
      </c>
      <c r="T18">
        <v>987</v>
      </c>
      <c r="U18">
        <v>702</v>
      </c>
      <c r="V18">
        <v>1037</v>
      </c>
      <c r="W18">
        <v>1546</v>
      </c>
      <c r="X18">
        <v>253</v>
      </c>
      <c r="Y18">
        <v>1608</v>
      </c>
      <c r="Z18">
        <v>1364</v>
      </c>
      <c r="AA18">
        <v>1394</v>
      </c>
      <c r="AB18">
        <v>1185</v>
      </c>
      <c r="AC18">
        <v>1164</v>
      </c>
      <c r="AD18">
        <v>1019</v>
      </c>
      <c r="AE18">
        <v>1024</v>
      </c>
      <c r="AF18">
        <v>858</v>
      </c>
      <c r="AG18">
        <v>1002</v>
      </c>
      <c r="AH18">
        <v>903</v>
      </c>
      <c r="AI18">
        <v>928</v>
      </c>
      <c r="AJ18">
        <v>697</v>
      </c>
      <c r="AK18">
        <v>786</v>
      </c>
      <c r="AM18">
        <v>879</v>
      </c>
      <c r="AN18">
        <v>787</v>
      </c>
    </row>
    <row r="19">
      <c r="A19" s="3">
        <v>3</v>
      </c>
    </row>
    <row r="20">
      <c r="A20" s="4" t="s">
        <v>34</v>
      </c>
      <c r="B20" s="3" t="s">
        <v>35</v>
      </c>
      <c r="F20">
        <v>20.52401746724891</v>
      </c>
      <c r="G20">
        <v>22.194513715710723</v>
      </c>
      <c r="H20">
        <v>22.866476112699061</v>
      </c>
      <c r="I20">
        <v>19.373454245671887</v>
      </c>
      <c r="J20">
        <v>20.268620268620268</v>
      </c>
      <c r="K20">
        <v>20.718232044198896</v>
      </c>
      <c r="L20">
        <v>18.128654970760234</v>
      </c>
      <c r="M20">
        <v>19.519752130131682</v>
      </c>
      <c r="N20">
        <v>19.357462383082556</v>
      </c>
      <c r="O20">
        <v>20.065654493229381</v>
      </c>
      <c r="P20">
        <v>20.471333098839253</v>
      </c>
      <c r="Q20">
        <v>21.08057464084947</v>
      </c>
      <c r="R20">
        <v>20.75530586766542</v>
      </c>
      <c r="S20">
        <v>19.808108944599194</v>
      </c>
      <c r="T20">
        <v>20.744356314826113</v>
      </c>
      <c r="U20">
        <v>22.072985301571212</v>
      </c>
      <c r="V20">
        <v>25.235032162295894</v>
      </c>
      <c r="W20">
        <v>24.383983572895275</v>
      </c>
      <c r="X20">
        <v>25.442604226156483</v>
      </c>
      <c r="Y20">
        <v>23.200428150923198</v>
      </c>
      <c r="Z20">
        <v>21.669980119284293</v>
      </c>
      <c r="AA20">
        <v>17.816813048933501</v>
      </c>
      <c r="AB20">
        <v>16.821724918280108</v>
      </c>
      <c r="AC20">
        <v>16.290726817042607</v>
      </c>
      <c r="AD20">
        <v>15.588578088578089</v>
      </c>
      <c r="AE20">
        <v>16.594332397242788</v>
      </c>
      <c r="AF20">
        <v>15.408986175115208</v>
      </c>
      <c r="AG20">
        <v>18.10850439882698</v>
      </c>
      <c r="AH20">
        <v>16.980670418399804</v>
      </c>
      <c r="AI20">
        <v>16.165598817151306</v>
      </c>
      <c r="AJ20">
        <v>15.484034465281299</v>
      </c>
      <c r="AK20">
        <v>31.16</v>
      </c>
      <c r="AM20">
        <v>28.66</v>
      </c>
      <c r="AN20">
        <v>28.09</v>
      </c>
    </row>
    <row r="21">
      <c r="A21" s="4" t="s">
        <v>36</v>
      </c>
      <c r="B21" s="3" t="s">
        <v>37</v>
      </c>
      <c r="AI21">
        <v>2490</v>
      </c>
    </row>
    <row r="22" ht="14.25">
      <c r="A22" s="4" t="s">
        <v>38</v>
      </c>
      <c r="B22" s="3" t="s">
        <v>39</v>
      </c>
      <c r="AI22">
        <v>2490</v>
      </c>
    </row>
    <row r="23" ht="14.25">
      <c r="A23" s="4" t="s">
        <v>40</v>
      </c>
      <c r="B23" s="3" t="s">
        <v>41</v>
      </c>
      <c r="AI23">
        <v>100</v>
      </c>
    </row>
    <row r="24" ht="14.25">
      <c r="A24" s="4" t="s">
        <v>42</v>
      </c>
      <c r="B24" s="3" t="s">
        <v>43</v>
      </c>
      <c r="AI24">
        <v>100</v>
      </c>
    </row>
    <row r="25" ht="14.25">
      <c r="A25" s="4" t="s">
        <v>44</v>
      </c>
      <c r="B25" s="3" t="s">
        <v>45</v>
      </c>
      <c r="AI25">
        <v>1800</v>
      </c>
    </row>
    <row r="26" ht="14.25">
      <c r="A26" s="4" t="s">
        <v>46</v>
      </c>
      <c r="B26" s="3" t="s">
        <v>47</v>
      </c>
      <c r="AI26">
        <v>72.289156626506028</v>
      </c>
    </row>
    <row r="27" ht="14.25">
      <c r="A27" s="4" t="s">
        <v>48</v>
      </c>
      <c r="B27" s="3" t="s">
        <v>49</v>
      </c>
      <c r="AI27">
        <v>72.289156626506028</v>
      </c>
    </row>
    <row r="28" ht="14.25">
      <c r="A28" s="4" t="s">
        <v>50</v>
      </c>
      <c r="B28" s="3" t="s">
        <v>51</v>
      </c>
      <c r="AI28">
        <v>800</v>
      </c>
    </row>
    <row r="29" ht="14.25">
      <c r="A29" s="4" t="s">
        <v>52</v>
      </c>
      <c r="B29" s="3" t="s">
        <v>53</v>
      </c>
      <c r="AI29">
        <v>44.444444444444443</v>
      </c>
    </row>
    <row r="30" ht="14.25">
      <c r="A30" s="4" t="s">
        <v>54</v>
      </c>
      <c r="B30" s="3" t="s">
        <v>55</v>
      </c>
      <c r="AI30">
        <v>32.128514056224901</v>
      </c>
    </row>
    <row r="31" ht="14.25">
      <c r="A31" s="4" t="s">
        <v>56</v>
      </c>
      <c r="B31" s="3" t="s">
        <v>57</v>
      </c>
      <c r="AI31">
        <v>700</v>
      </c>
    </row>
    <row r="32" ht="14.25">
      <c r="A32" s="4" t="s">
        <v>58</v>
      </c>
      <c r="B32" s="3" t="s">
        <v>59</v>
      </c>
      <c r="AI32">
        <v>87.5</v>
      </c>
    </row>
    <row r="33" ht="14.25">
      <c r="A33" s="4" t="s">
        <v>60</v>
      </c>
      <c r="B33" s="3" t="s">
        <v>61</v>
      </c>
      <c r="AI33">
        <v>28.112449799196789</v>
      </c>
    </row>
    <row r="34" ht="14.25">
      <c r="A34" s="4" t="s">
        <v>62</v>
      </c>
      <c r="B34" s="3" t="s">
        <v>63</v>
      </c>
      <c r="AI34">
        <v>600</v>
      </c>
    </row>
    <row r="35" ht="14.25">
      <c r="A35" s="4" t="s">
        <v>64</v>
      </c>
      <c r="B35" s="3" t="s">
        <v>65</v>
      </c>
      <c r="AI35">
        <v>85.714285714285708</v>
      </c>
    </row>
    <row r="36" ht="14.25">
      <c r="A36" s="4" t="s">
        <v>66</v>
      </c>
      <c r="B36" s="3" t="s">
        <v>67</v>
      </c>
      <c r="AI36">
        <v>24.096385542168676</v>
      </c>
    </row>
    <row r="37" ht="14.25">
      <c r="A37" s="4" t="s">
        <v>68</v>
      </c>
      <c r="B37" s="3" t="s">
        <v>69</v>
      </c>
      <c r="AI37">
        <v>553</v>
      </c>
    </row>
    <row r="38" ht="14.25">
      <c r="A38" s="4" t="s">
        <v>70</v>
      </c>
      <c r="B38" s="3" t="s">
        <v>71</v>
      </c>
      <c r="AI38">
        <v>92.166666666666657</v>
      </c>
    </row>
    <row r="39" ht="14.25">
      <c r="A39" s="4" t="s">
        <v>72</v>
      </c>
      <c r="B39" s="3" t="s">
        <v>73</v>
      </c>
      <c r="AI39">
        <v>22.208835341365464</v>
      </c>
    </row>
    <row r="40" ht="14.25">
      <c r="A40" s="4" t="s">
        <v>74</v>
      </c>
      <c r="B40" s="3" t="s">
        <v>21</v>
      </c>
      <c r="AI40">
        <v>50</v>
      </c>
    </row>
    <row r="41" ht="14.25">
      <c r="A41" s="4" t="s">
        <v>75</v>
      </c>
      <c r="B41" s="3" t="s">
        <v>76</v>
      </c>
      <c r="AI41">
        <v>4.0999999999999996</v>
      </c>
    </row>
    <row r="42" ht="14.25">
      <c r="A42" s="4" t="s">
        <v>77</v>
      </c>
      <c r="B42" s="3" t="s">
        <v>25</v>
      </c>
      <c r="F42">
        <v>381</v>
      </c>
      <c r="G42">
        <v>240</v>
      </c>
      <c r="H42">
        <v>478</v>
      </c>
      <c r="I42">
        <v>307</v>
      </c>
      <c r="J42">
        <v>417</v>
      </c>
      <c r="K42">
        <v>218</v>
      </c>
      <c r="M42">
        <v>329</v>
      </c>
      <c r="N42">
        <v>310</v>
      </c>
      <c r="O42">
        <v>412</v>
      </c>
      <c r="P42">
        <v>215</v>
      </c>
      <c r="Q42">
        <v>349</v>
      </c>
      <c r="R42">
        <v>345</v>
      </c>
      <c r="S42">
        <v>422</v>
      </c>
      <c r="T42">
        <v>261</v>
      </c>
      <c r="U42">
        <v>560</v>
      </c>
      <c r="V42">
        <v>879</v>
      </c>
      <c r="W42">
        <v>897</v>
      </c>
      <c r="X42">
        <v>738</v>
      </c>
      <c r="Y42">
        <v>598</v>
      </c>
      <c r="Z42">
        <v>601</v>
      </c>
      <c r="AA42">
        <v>430</v>
      </c>
      <c r="AB42">
        <v>560</v>
      </c>
      <c r="AC42">
        <v>454</v>
      </c>
      <c r="AD42">
        <v>314</v>
      </c>
      <c r="AE42">
        <v>336</v>
      </c>
      <c r="AF42">
        <v>419</v>
      </c>
      <c r="AG42">
        <v>499</v>
      </c>
      <c r="AH42">
        <v>503</v>
      </c>
      <c r="AI42">
        <v>342</v>
      </c>
      <c r="AJ42">
        <v>378</v>
      </c>
      <c r="AK42">
        <v>550</v>
      </c>
      <c r="AM42">
        <v>491</v>
      </c>
      <c r="AN42">
        <v>531</v>
      </c>
    </row>
    <row r="43" ht="14.25">
      <c r="A43" s="4" t="s">
        <v>78</v>
      </c>
      <c r="B43" s="3" t="s">
        <v>27</v>
      </c>
      <c r="F43">
        <v>188</v>
      </c>
      <c r="G43">
        <v>229</v>
      </c>
      <c r="H43">
        <v>340</v>
      </c>
      <c r="I43">
        <v>283</v>
      </c>
      <c r="J43">
        <v>359</v>
      </c>
      <c r="K43">
        <v>282</v>
      </c>
      <c r="M43">
        <v>369</v>
      </c>
      <c r="N43">
        <v>369</v>
      </c>
      <c r="O43">
        <v>407</v>
      </c>
      <c r="P43">
        <v>262</v>
      </c>
      <c r="Q43">
        <v>360</v>
      </c>
      <c r="R43">
        <v>348</v>
      </c>
      <c r="S43">
        <v>375</v>
      </c>
      <c r="T43">
        <v>281</v>
      </c>
      <c r="U43">
        <v>390</v>
      </c>
      <c r="V43">
        <v>418</v>
      </c>
      <c r="W43">
        <v>504</v>
      </c>
      <c r="X43">
        <v>390</v>
      </c>
      <c r="Y43">
        <v>397</v>
      </c>
      <c r="Z43">
        <v>382</v>
      </c>
      <c r="AA43">
        <v>297</v>
      </c>
      <c r="AB43">
        <v>383</v>
      </c>
      <c r="AC43">
        <v>296</v>
      </c>
      <c r="AD43">
        <v>208</v>
      </c>
      <c r="AE43">
        <v>175</v>
      </c>
      <c r="AF43">
        <v>250</v>
      </c>
      <c r="AG43">
        <v>217</v>
      </c>
      <c r="AH43">
        <v>306</v>
      </c>
      <c r="AI43">
        <v>208</v>
      </c>
      <c r="AJ43">
        <v>242</v>
      </c>
      <c r="AK43">
        <v>312</v>
      </c>
      <c r="AM43">
        <v>323</v>
      </c>
      <c r="AN43">
        <v>341</v>
      </c>
    </row>
    <row r="44" ht="14.25">
      <c r="A44" s="4" t="s">
        <v>79</v>
      </c>
      <c r="B44" s="3" t="s">
        <v>33</v>
      </c>
      <c r="H44">
        <v>178</v>
      </c>
      <c r="I44">
        <v>302</v>
      </c>
      <c r="J44">
        <v>212</v>
      </c>
      <c r="K44">
        <v>263</v>
      </c>
      <c r="L44">
        <v>179</v>
      </c>
      <c r="M44">
        <v>204</v>
      </c>
      <c r="N44">
        <v>249</v>
      </c>
      <c r="O44">
        <v>176</v>
      </c>
      <c r="P44">
        <v>183</v>
      </c>
      <c r="Q44">
        <v>142</v>
      </c>
      <c r="R44">
        <v>272</v>
      </c>
      <c r="S44">
        <v>235</v>
      </c>
      <c r="T44">
        <v>330</v>
      </c>
      <c r="U44">
        <v>229</v>
      </c>
      <c r="V44">
        <v>499</v>
      </c>
      <c r="W44">
        <v>670</v>
      </c>
      <c r="X44">
        <v>109</v>
      </c>
      <c r="Y44">
        <v>640</v>
      </c>
      <c r="Z44">
        <v>540</v>
      </c>
      <c r="AA44">
        <v>516</v>
      </c>
      <c r="AB44">
        <v>355</v>
      </c>
      <c r="AC44">
        <v>446</v>
      </c>
      <c r="AD44">
        <v>322</v>
      </c>
      <c r="AE44">
        <v>233</v>
      </c>
      <c r="AF44">
        <v>233</v>
      </c>
      <c r="AG44">
        <v>300</v>
      </c>
      <c r="AH44">
        <v>308</v>
      </c>
      <c r="AI44">
        <v>363</v>
      </c>
      <c r="AJ44">
        <v>242</v>
      </c>
      <c r="AK44">
        <v>251</v>
      </c>
      <c r="AM44">
        <v>350</v>
      </c>
      <c r="AN44">
        <v>324</v>
      </c>
    </row>
    <row r="45" ht="14.25">
      <c r="A45" s="4" t="s">
        <v>80</v>
      </c>
      <c r="B45" s="3" t="s">
        <v>81</v>
      </c>
      <c r="F45">
        <v>1.5266903914590748</v>
      </c>
      <c r="G45">
        <v>1.6928571428571428</v>
      </c>
      <c r="H45">
        <v>1.9431818181818181</v>
      </c>
      <c r="I45">
        <v>2.0459770114942528</v>
      </c>
      <c r="J45">
        <v>2.3145937499999998</v>
      </c>
      <c r="K45">
        <v>2.4018584070796458</v>
      </c>
      <c r="L45">
        <v>2.5117346938775515</v>
      </c>
      <c r="M45">
        <v>2.5279374999999997</v>
      </c>
      <c r="N45">
        <v>2.5904792332268367</v>
      </c>
      <c r="O45">
        <v>2.7547115384615384</v>
      </c>
      <c r="P45">
        <v>2.6561558441558444</v>
      </c>
      <c r="Q45">
        <v>2.8095633187772928</v>
      </c>
      <c r="R45">
        <v>2.9073437500000012</v>
      </c>
      <c r="S45">
        <v>2.9228486646884271</v>
      </c>
      <c r="T45">
        <v>2.8106666666666666</v>
      </c>
      <c r="U45">
        <v>2.3310344827586209</v>
      </c>
      <c r="V45">
        <v>2.2236559139784946</v>
      </c>
      <c r="W45">
        <v>2.2649006622516556</v>
      </c>
      <c r="X45">
        <v>1.6812977099236641</v>
      </c>
      <c r="Y45">
        <v>1.9808795411089866</v>
      </c>
      <c r="Z45">
        <v>2.0321199143468949</v>
      </c>
      <c r="AA45">
        <v>2.8915333333333328</v>
      </c>
      <c r="AB45">
        <v>3.0432735426008968</v>
      </c>
      <c r="AC45">
        <v>2.8772069825436408</v>
      </c>
      <c r="AD45">
        <v>2.3885350318471339</v>
      </c>
      <c r="AE45">
        <v>1.9196891191709844</v>
      </c>
      <c r="AF45">
        <v>2.481012658227848</v>
      </c>
      <c r="AG45">
        <v>1.7671232876712328</v>
      </c>
      <c r="AH45">
        <v>2.2077922077922079</v>
      </c>
      <c r="AI45">
        <v>1.9816272965879265</v>
      </c>
      <c r="AJ45">
        <v>2.10803324099723</v>
      </c>
      <c r="AK45">
        <v>1.99</v>
      </c>
      <c r="AM45">
        <v>2.5600000000000001</v>
      </c>
      <c r="AN45">
        <v>2.3999999999999999</v>
      </c>
    </row>
    <row r="46" ht="14.25">
      <c r="A46" s="4" t="s">
        <v>82</v>
      </c>
      <c r="B46" s="3" t="s">
        <v>83</v>
      </c>
      <c r="F46">
        <v>174</v>
      </c>
      <c r="G46">
        <v>215</v>
      </c>
      <c r="H46">
        <v>143</v>
      </c>
      <c r="I46">
        <v>252</v>
      </c>
      <c r="J46">
        <v>194</v>
      </c>
      <c r="K46">
        <v>231</v>
      </c>
      <c r="L46">
        <v>146</v>
      </c>
      <c r="M46">
        <v>193</v>
      </c>
      <c r="N46">
        <v>192</v>
      </c>
      <c r="O46">
        <v>239</v>
      </c>
      <c r="P46">
        <v>156</v>
      </c>
      <c r="Q46">
        <v>213</v>
      </c>
      <c r="R46">
        <v>204</v>
      </c>
      <c r="S46">
        <v>227</v>
      </c>
      <c r="T46">
        <v>212</v>
      </c>
      <c r="U46">
        <v>374</v>
      </c>
      <c r="V46">
        <v>546</v>
      </c>
      <c r="W46">
        <v>572</v>
      </c>
      <c r="X46">
        <v>453</v>
      </c>
      <c r="Y46">
        <v>394</v>
      </c>
      <c r="Z46">
        <v>410</v>
      </c>
      <c r="AA46">
        <v>310</v>
      </c>
      <c r="AB46">
        <v>402</v>
      </c>
      <c r="AC46">
        <v>333</v>
      </c>
      <c r="AD46">
        <v>247</v>
      </c>
      <c r="AE46">
        <v>265</v>
      </c>
      <c r="AF46">
        <v>315</v>
      </c>
      <c r="AG46">
        <v>376</v>
      </c>
      <c r="AH46">
        <v>372</v>
      </c>
      <c r="AI46">
        <v>275</v>
      </c>
      <c r="AJ46">
        <v>294</v>
      </c>
      <c r="AK46">
        <v>393</v>
      </c>
      <c r="AM46">
        <v>367</v>
      </c>
      <c r="AN46">
        <v>394</v>
      </c>
    </row>
    <row r="47" ht="14.25">
      <c r="A47" s="4" t="s">
        <v>84</v>
      </c>
      <c r="B47" s="3" t="s">
        <v>85</v>
      </c>
      <c r="F47">
        <v>223</v>
      </c>
      <c r="G47">
        <v>279</v>
      </c>
      <c r="H47">
        <v>183</v>
      </c>
      <c r="I47">
        <v>324</v>
      </c>
      <c r="J47">
        <v>236</v>
      </c>
      <c r="K47">
        <v>295</v>
      </c>
      <c r="L47">
        <v>172</v>
      </c>
      <c r="M47">
        <v>245</v>
      </c>
      <c r="N47">
        <v>229</v>
      </c>
      <c r="O47">
        <v>293</v>
      </c>
      <c r="P47">
        <v>176</v>
      </c>
      <c r="Q47">
        <v>258</v>
      </c>
      <c r="R47">
        <v>257</v>
      </c>
      <c r="S47">
        <v>296</v>
      </c>
      <c r="T47">
        <v>261</v>
      </c>
      <c r="U47">
        <v>560</v>
      </c>
      <c r="V47">
        <v>879</v>
      </c>
      <c r="W47">
        <v>897</v>
      </c>
      <c r="X47">
        <v>738</v>
      </c>
      <c r="Y47">
        <v>598</v>
      </c>
      <c r="Z47">
        <v>601</v>
      </c>
      <c r="AA47">
        <v>430</v>
      </c>
      <c r="AB47">
        <v>560</v>
      </c>
      <c r="AC47">
        <v>454</v>
      </c>
      <c r="AD47">
        <v>314</v>
      </c>
      <c r="AE47">
        <v>336</v>
      </c>
      <c r="AF47">
        <v>419</v>
      </c>
      <c r="AG47">
        <v>499</v>
      </c>
      <c r="AH47">
        <v>503</v>
      </c>
      <c r="AI47">
        <v>342</v>
      </c>
      <c r="AJ47">
        <v>378</v>
      </c>
      <c r="AK47">
        <v>550</v>
      </c>
      <c r="AM47">
        <v>492</v>
      </c>
      <c r="AN47">
        <v>531</v>
      </c>
    </row>
    <row r="48" ht="14.25">
      <c r="A48" s="4" t="s">
        <v>86</v>
      </c>
      <c r="B48" s="3" t="s">
        <v>87</v>
      </c>
      <c r="C48" s="3" t="s">
        <v>5</v>
      </c>
      <c r="W48">
        <v>1951</v>
      </c>
      <c r="AH48">
        <v>1938</v>
      </c>
    </row>
    <row r="49" ht="14.25">
      <c r="A49" s="4" t="s">
        <v>88</v>
      </c>
      <c r="B49" s="3" t="s">
        <v>89</v>
      </c>
      <c r="C49" s="3" t="s">
        <v>90</v>
      </c>
      <c r="F49">
        <v>38</v>
      </c>
      <c r="G49">
        <v>38</v>
      </c>
      <c r="H49">
        <v>37</v>
      </c>
      <c r="I49">
        <v>41</v>
      </c>
      <c r="J49">
        <v>41</v>
      </c>
      <c r="K49">
        <v>43</v>
      </c>
      <c r="L49">
        <v>45</v>
      </c>
      <c r="M49">
        <v>43</v>
      </c>
      <c r="N49">
        <v>44</v>
      </c>
      <c r="O49">
        <v>43</v>
      </c>
      <c r="P49">
        <v>40</v>
      </c>
      <c r="Q49">
        <v>42</v>
      </c>
      <c r="R49">
        <v>44</v>
      </c>
      <c r="S49">
        <v>43</v>
      </c>
      <c r="T49">
        <v>43</v>
      </c>
      <c r="U49">
        <v>43</v>
      </c>
      <c r="V49">
        <v>39</v>
      </c>
      <c r="W49">
        <v>40</v>
      </c>
      <c r="X49">
        <v>37</v>
      </c>
      <c r="Y49">
        <v>42</v>
      </c>
      <c r="Z49">
        <v>44</v>
      </c>
      <c r="AA49">
        <v>48</v>
      </c>
      <c r="AB49">
        <v>50</v>
      </c>
      <c r="AC49">
        <v>48</v>
      </c>
      <c r="AD49">
        <v>48</v>
      </c>
      <c r="AF49">
        <v>49</v>
      </c>
      <c r="AG49">
        <v>47</v>
      </c>
      <c r="AH49">
        <v>47</v>
      </c>
      <c r="AI49">
        <v>48</v>
      </c>
      <c r="AJ49">
        <v>50</v>
      </c>
      <c r="AK49">
        <v>47</v>
      </c>
      <c r="AM49">
        <v>48</v>
      </c>
      <c r="AN49">
        <v>48</v>
      </c>
    </row>
    <row r="50" ht="14.25">
      <c r="A50" s="4" t="s">
        <v>91</v>
      </c>
      <c r="B50" s="3" t="s">
        <v>92</v>
      </c>
      <c r="C50" s="3" t="s">
        <v>90</v>
      </c>
      <c r="F50">
        <v>48</v>
      </c>
      <c r="G50">
        <v>48</v>
      </c>
      <c r="H50">
        <v>48</v>
      </c>
      <c r="I50">
        <v>49</v>
      </c>
      <c r="J50">
        <v>50</v>
      </c>
      <c r="K50">
        <v>53</v>
      </c>
      <c r="L50">
        <v>52</v>
      </c>
      <c r="M50">
        <v>51</v>
      </c>
      <c r="N50">
        <v>51</v>
      </c>
      <c r="O50">
        <v>51</v>
      </c>
      <c r="P50">
        <v>48</v>
      </c>
      <c r="Q50">
        <v>49</v>
      </c>
      <c r="R50">
        <v>51</v>
      </c>
      <c r="S50">
        <v>51</v>
      </c>
      <c r="T50">
        <v>51</v>
      </c>
      <c r="U50">
        <v>50</v>
      </c>
      <c r="V50">
        <v>47</v>
      </c>
      <c r="W50">
        <v>48</v>
      </c>
      <c r="X50">
        <v>48</v>
      </c>
      <c r="Y50">
        <v>54</v>
      </c>
      <c r="Z50">
        <v>56.000000000000007</v>
      </c>
      <c r="AA50">
        <v>51</v>
      </c>
      <c r="AB50">
        <v>52</v>
      </c>
      <c r="AC50">
        <v>52</v>
      </c>
      <c r="AD50">
        <v>51</v>
      </c>
      <c r="AF50">
        <v>48</v>
      </c>
      <c r="AG50">
        <v>49</v>
      </c>
      <c r="AH50">
        <v>49</v>
      </c>
      <c r="AI50">
        <v>50</v>
      </c>
      <c r="AJ50">
        <v>72</v>
      </c>
      <c r="AK50">
        <v>74</v>
      </c>
      <c r="AM50">
        <v>71</v>
      </c>
      <c r="AN50">
        <v>73</v>
      </c>
    </row>
    <row r="51" ht="14.25">
      <c r="A51" s="3" t="s">
        <v>5</v>
      </c>
    </row>
    <row r="52" ht="14.25">
      <c r="A52" s="3" t="s">
        <v>93</v>
      </c>
      <c r="D52">
        <v>31</v>
      </c>
      <c r="E52">
        <v>37</v>
      </c>
      <c r="F52">
        <v>5310.4047172042065</v>
      </c>
      <c r="G52">
        <v>5327.5237843956702</v>
      </c>
      <c r="H52">
        <v>6402.0722463318098</v>
      </c>
      <c r="I52">
        <v>6463.7581666660444</v>
      </c>
      <c r="J52">
        <v>6436.6045684551391</v>
      </c>
      <c r="K52">
        <v>5673.8262786080759</v>
      </c>
      <c r="L52">
        <v>2304.1995838447619</v>
      </c>
      <c r="M52">
        <v>5433.7695700829136</v>
      </c>
      <c r="N52">
        <v>5790.8336924694258</v>
      </c>
      <c r="O52">
        <v>6076.1626010799482</v>
      </c>
      <c r="P52">
        <v>5428.0174929166806</v>
      </c>
      <c r="Q52">
        <v>6035.0203846539443</v>
      </c>
      <c r="R52">
        <v>6073.6898234234013</v>
      </c>
      <c r="S52">
        <v>6253.6840640768824</v>
      </c>
      <c r="T52">
        <v>5389.0090729073045</v>
      </c>
      <c r="U52">
        <v>6812.4900153689186</v>
      </c>
      <c r="V52">
        <v>10048.553992968686</v>
      </c>
      <c r="W52">
        <v>13245.15786472183</v>
      </c>
      <c r="X52">
        <v>8242.2688632153913</v>
      </c>
      <c r="Y52">
        <v>9266.9048613893392</v>
      </c>
      <c r="Z52">
        <v>9049.3439890300906</v>
      </c>
      <c r="AA52">
        <v>7820.6741962290562</v>
      </c>
      <c r="AB52">
        <v>7993.9658105434382</v>
      </c>
      <c r="AC52">
        <v>7464.9636537026909</v>
      </c>
      <c r="AD52">
        <v>6228.6898766175336</v>
      </c>
      <c r="AE52">
        <v>5683.2316217281086</v>
      </c>
      <c r="AF52">
        <v>6338.7074835001085</v>
      </c>
      <c r="AG52">
        <v>6767.5060046856088</v>
      </c>
      <c r="AH52">
        <v>8685.1530943760008</v>
      </c>
      <c r="AI52">
        <v>15872.065192416319</v>
      </c>
      <c r="AJ52">
        <v>5808.2475903400664</v>
      </c>
      <c r="AK52">
        <v>7175.6700000000001</v>
      </c>
      <c r="AM52">
        <v>6779.3999999999996</v>
      </c>
      <c r="AN52">
        <v>6972.7699999999995</v>
      </c>
    </row>
    <row r="53" ht="14.25"/>
    <row r="54" ht="14.25"/>
    <row r="55" ht="14.25"/>
    <row r="56" ht="14.25"/>
    <row r="57" ht="14.25"/>
    <row r="58" ht="14.25"/>
    <row r="59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indexed="5"/>
    <outlinePr applyStyles="0" summaryBelow="1" summaryRight="1" showOutlineSymbols="1"/>
    <pageSetUpPr autoPageBreaks="1" fitToPage="0"/>
  </sheetPr>
  <sheetViews>
    <sheetView showRuler="1" topLeftCell="A1" zoomScale="100" workbookViewId="0">
      <pane xSplit="2" topLeftCell="C1" activePane="topRight" state="frozen"/>
      <selection activeCell="B476" activeCellId="0" sqref="B476"/>
    </sheetView>
  </sheetViews>
  <sheetFormatPr defaultRowHeight="14.25"/>
  <cols>
    <col customWidth="1" min="1" max="1" style="6" width="12.85546875"/>
    <col customWidth="1" min="2" max="2" style="6" width="12.7109375"/>
    <col customWidth="1" min="3" max="3" style="6" width="18.5703125"/>
    <col customWidth="1" min="4" max="4" style="6" width="46.7109375"/>
    <col customWidth="1" min="5" max="5" style="6" width="14.7109375"/>
    <col customWidth="1" min="6" max="6" style="6" width="13.42578125"/>
    <col customWidth="1" min="7" max="7" style="6" width="18.28515625"/>
    <col customWidth="1" min="8" max="8" style="6" width="16.28515625"/>
    <col customWidth="1" min="9" max="9" style="6" width="11.85546875"/>
    <col customWidth="1" min="10" max="10" style="6" width="41.57421875"/>
    <col customWidth="1" min="11" max="11" style="6" width="30.42578125"/>
    <col customWidth="1" min="12" max="12" style="7" width="30.7109375"/>
    <col customWidth="1" min="13" max="13" width="9.7109375"/>
    <col customWidth="1" min="14" max="14" width="16.7109375"/>
    <col customWidth="1" min="15" max="15" width="15.28515625"/>
  </cols>
  <sheetData>
    <row r="1">
      <c r="A1" s="8" t="s">
        <v>94</v>
      </c>
      <c r="B1" s="8" t="s">
        <v>95</v>
      </c>
      <c r="C1" s="8" t="s">
        <v>96</v>
      </c>
      <c r="D1" s="8" t="s">
        <v>3</v>
      </c>
      <c r="E1" s="8" t="s">
        <v>97</v>
      </c>
      <c r="F1" s="8" t="s">
        <v>98</v>
      </c>
      <c r="G1" s="8" t="s">
        <v>99</v>
      </c>
      <c r="H1" s="8" t="s">
        <v>100</v>
      </c>
      <c r="I1" s="8" t="s">
        <v>101</v>
      </c>
      <c r="J1" s="8" t="s">
        <v>4</v>
      </c>
      <c r="K1" s="8" t="s">
        <v>102</v>
      </c>
      <c r="L1"/>
    </row>
    <row r="2" ht="15" customHeight="1">
      <c r="A2" s="9">
        <v>45897</v>
      </c>
      <c r="B2" s="6">
        <v>34</v>
      </c>
      <c r="C2" t="s">
        <v>6</v>
      </c>
      <c r="D2" t="s">
        <v>7</v>
      </c>
      <c r="E2" s="6">
        <v>1</v>
      </c>
      <c r="F2" s="6" t="s">
        <v>103</v>
      </c>
      <c r="G2" s="6" t="s">
        <v>104</v>
      </c>
      <c r="H2" s="6" t="s">
        <v>105</v>
      </c>
      <c r="I2" s="6"/>
      <c r="J2" s="6"/>
      <c r="K2" s="6"/>
      <c r="L2"/>
    </row>
    <row r="3" ht="15" customHeight="1">
      <c r="A3" s="9">
        <v>45904</v>
      </c>
      <c r="B3" s="6">
        <v>34</v>
      </c>
      <c r="C3" s="7" t="s">
        <v>6</v>
      </c>
      <c r="D3" s="7" t="s">
        <v>7</v>
      </c>
      <c r="E3" s="6">
        <v>1</v>
      </c>
      <c r="F3" s="6" t="s">
        <v>103</v>
      </c>
      <c r="G3" s="6" t="s">
        <v>104</v>
      </c>
      <c r="H3" s="6" t="s">
        <v>105</v>
      </c>
    </row>
    <row r="4" ht="15" customHeight="1">
      <c r="A4" s="9">
        <v>45911</v>
      </c>
      <c r="B4" s="6">
        <v>32</v>
      </c>
      <c r="C4" s="7" t="s">
        <v>6</v>
      </c>
      <c r="D4" s="7" t="s">
        <v>7</v>
      </c>
      <c r="E4" s="6">
        <v>1</v>
      </c>
      <c r="F4" s="6" t="s">
        <v>103</v>
      </c>
      <c r="G4" s="6" t="s">
        <v>104</v>
      </c>
      <c r="H4" s="6" t="s">
        <v>105</v>
      </c>
      <c r="I4" s="6"/>
      <c r="J4" s="6"/>
      <c r="K4" s="6"/>
      <c r="L4"/>
    </row>
    <row r="5" ht="15" customHeight="1">
      <c r="A5" s="9">
        <v>45918</v>
      </c>
      <c r="B5" s="6">
        <v>32</v>
      </c>
      <c r="C5" s="7" t="s">
        <v>6</v>
      </c>
      <c r="D5" s="7" t="s">
        <v>7</v>
      </c>
      <c r="E5" s="6">
        <v>1</v>
      </c>
      <c r="F5" s="6" t="s">
        <v>103</v>
      </c>
      <c r="G5" s="6" t="s">
        <v>104</v>
      </c>
      <c r="H5" s="6" t="s">
        <v>105</v>
      </c>
      <c r="I5" s="6"/>
      <c r="J5" s="6"/>
      <c r="K5" s="6"/>
      <c r="L5"/>
    </row>
    <row r="6" ht="15" customHeight="1">
      <c r="A6" s="9">
        <v>45925</v>
      </c>
      <c r="B6" s="10">
        <v>25</v>
      </c>
      <c r="C6" s="7" t="s">
        <v>6</v>
      </c>
      <c r="D6" s="7" t="s">
        <v>7</v>
      </c>
      <c r="E6" s="6">
        <v>1</v>
      </c>
      <c r="F6" s="6" t="s">
        <v>103</v>
      </c>
      <c r="G6" s="6" t="s">
        <v>104</v>
      </c>
      <c r="H6" s="6" t="s">
        <v>105</v>
      </c>
      <c r="I6" s="6"/>
      <c r="J6" s="6"/>
      <c r="K6" s="6"/>
      <c r="L6"/>
    </row>
    <row r="7" ht="15" customHeight="1">
      <c r="A7" s="9">
        <v>45932</v>
      </c>
      <c r="B7" s="10">
        <v>25</v>
      </c>
      <c r="C7" s="7" t="s">
        <v>6</v>
      </c>
      <c r="D7" s="7" t="s">
        <v>7</v>
      </c>
      <c r="E7" s="6">
        <v>1</v>
      </c>
      <c r="F7" s="6" t="s">
        <v>103</v>
      </c>
      <c r="G7" s="6" t="s">
        <v>104</v>
      </c>
      <c r="H7" s="6" t="s">
        <v>105</v>
      </c>
      <c r="I7" s="6"/>
      <c r="J7" s="6"/>
      <c r="K7" s="6"/>
      <c r="L7"/>
    </row>
    <row r="8" ht="15" customHeight="1">
      <c r="A8" s="9">
        <v>45939</v>
      </c>
      <c r="B8" s="10">
        <v>25</v>
      </c>
      <c r="C8" s="7" t="s">
        <v>6</v>
      </c>
      <c r="D8" s="7" t="s">
        <v>7</v>
      </c>
      <c r="E8" s="6">
        <v>1</v>
      </c>
      <c r="F8" s="6" t="s">
        <v>103</v>
      </c>
      <c r="G8" s="6" t="s">
        <v>104</v>
      </c>
      <c r="H8" s="6" t="s">
        <v>105</v>
      </c>
      <c r="I8" s="6"/>
      <c r="J8" s="6"/>
      <c r="K8" s="6"/>
      <c r="L8"/>
    </row>
    <row r="9" ht="15" customHeight="1">
      <c r="A9" s="9">
        <v>45946</v>
      </c>
      <c r="B9" s="10">
        <v>25</v>
      </c>
      <c r="C9" s="7" t="s">
        <v>6</v>
      </c>
      <c r="D9" s="7" t="s">
        <v>7</v>
      </c>
      <c r="E9" s="6">
        <v>1</v>
      </c>
      <c r="F9" s="6" t="s">
        <v>103</v>
      </c>
      <c r="G9" s="6" t="s">
        <v>104</v>
      </c>
      <c r="H9" s="6" t="s">
        <v>105</v>
      </c>
    </row>
    <row r="10" ht="15" customHeight="1">
      <c r="A10" s="9">
        <v>45953</v>
      </c>
      <c r="B10" s="10">
        <v>25</v>
      </c>
      <c r="C10" s="7" t="s">
        <v>6</v>
      </c>
      <c r="D10" s="7" t="s">
        <v>7</v>
      </c>
      <c r="E10" s="6">
        <v>1</v>
      </c>
      <c r="F10" s="6" t="s">
        <v>103</v>
      </c>
      <c r="G10" s="6" t="s">
        <v>104</v>
      </c>
      <c r="H10" s="6" t="s">
        <v>105</v>
      </c>
    </row>
    <row r="11" ht="15" customHeight="1">
      <c r="A11" s="9">
        <v>45960</v>
      </c>
      <c r="B11" s="10">
        <v>23</v>
      </c>
      <c r="C11" s="7" t="s">
        <v>6</v>
      </c>
      <c r="D11" s="7" t="s">
        <v>7</v>
      </c>
      <c r="E11" s="6">
        <v>1</v>
      </c>
      <c r="F11" s="6" t="s">
        <v>103</v>
      </c>
      <c r="G11" s="6" t="s">
        <v>104</v>
      </c>
      <c r="H11" s="6" t="s">
        <v>105</v>
      </c>
    </row>
    <row r="12" ht="15" customHeight="1">
      <c r="A12" s="9">
        <v>45967</v>
      </c>
      <c r="B12" s="10">
        <v>23</v>
      </c>
      <c r="C12" s="7" t="s">
        <v>6</v>
      </c>
      <c r="D12" s="7" t="s">
        <v>7</v>
      </c>
      <c r="E12" s="6">
        <v>1</v>
      </c>
      <c r="F12" s="6" t="s">
        <v>103</v>
      </c>
      <c r="G12" s="6" t="s">
        <v>104</v>
      </c>
      <c r="H12" s="6" t="s">
        <v>105</v>
      </c>
    </row>
    <row r="13" ht="15" customHeight="1">
      <c r="A13" s="9">
        <v>45974</v>
      </c>
      <c r="B13" s="10">
        <v>23</v>
      </c>
      <c r="C13" s="7" t="s">
        <v>6</v>
      </c>
      <c r="D13" s="7" t="s">
        <v>7</v>
      </c>
      <c r="E13" s="6">
        <v>1</v>
      </c>
      <c r="F13" s="6" t="s">
        <v>103</v>
      </c>
      <c r="G13" s="6" t="s">
        <v>104</v>
      </c>
      <c r="H13" s="6" t="s">
        <v>105</v>
      </c>
    </row>
    <row r="14" ht="15" customHeight="1">
      <c r="A14" s="9">
        <v>45981</v>
      </c>
      <c r="B14" s="10">
        <v>23</v>
      </c>
      <c r="C14" s="7" t="s">
        <v>6</v>
      </c>
      <c r="D14" s="7" t="s">
        <v>7</v>
      </c>
      <c r="E14" s="6">
        <v>1</v>
      </c>
      <c r="F14" s="6" t="s">
        <v>103</v>
      </c>
      <c r="G14" s="6" t="s">
        <v>104</v>
      </c>
      <c r="H14" s="6" t="s">
        <v>105</v>
      </c>
    </row>
    <row r="15" ht="15" customHeight="1">
      <c r="A15" s="9">
        <v>45988</v>
      </c>
      <c r="B15" s="10">
        <v>25</v>
      </c>
      <c r="C15" s="7" t="s">
        <v>6</v>
      </c>
      <c r="D15" s="7" t="s">
        <v>7</v>
      </c>
      <c r="E15" s="6">
        <v>1</v>
      </c>
      <c r="F15" s="6" t="s">
        <v>103</v>
      </c>
      <c r="G15" s="6" t="s">
        <v>104</v>
      </c>
      <c r="H15" s="6" t="s">
        <v>105</v>
      </c>
    </row>
    <row r="16" ht="15" customHeight="1">
      <c r="A16" s="9">
        <v>45995</v>
      </c>
      <c r="B16" s="10">
        <v>24</v>
      </c>
      <c r="C16" s="7" t="s">
        <v>6</v>
      </c>
      <c r="D16" s="7" t="s">
        <v>7</v>
      </c>
      <c r="E16" s="6">
        <v>1</v>
      </c>
      <c r="F16" s="6" t="s">
        <v>103</v>
      </c>
      <c r="G16" s="6" t="s">
        <v>104</v>
      </c>
      <c r="H16" s="6" t="s">
        <v>105</v>
      </c>
    </row>
    <row r="17" ht="15" customHeight="1">
      <c r="A17" s="9">
        <v>46002</v>
      </c>
      <c r="B17" s="10">
        <v>24</v>
      </c>
      <c r="C17" s="7" t="s">
        <v>6</v>
      </c>
      <c r="D17" s="7" t="s">
        <v>7</v>
      </c>
      <c r="E17" s="6">
        <v>1</v>
      </c>
      <c r="F17" s="6" t="s">
        <v>103</v>
      </c>
      <c r="G17" s="6" t="s">
        <v>104</v>
      </c>
      <c r="H17" s="6" t="s">
        <v>105</v>
      </c>
    </row>
    <row r="18" ht="15" customHeight="1">
      <c r="A18" s="9">
        <v>46009</v>
      </c>
      <c r="B18" s="10">
        <v>16</v>
      </c>
      <c r="C18" s="7" t="s">
        <v>6</v>
      </c>
      <c r="D18" s="7" t="s">
        <v>7</v>
      </c>
      <c r="E18" s="6">
        <v>1</v>
      </c>
      <c r="F18" s="6" t="s">
        <v>103</v>
      </c>
      <c r="G18" s="6" t="s">
        <v>104</v>
      </c>
      <c r="H18" s="6" t="s">
        <v>105</v>
      </c>
    </row>
    <row r="19" ht="15" customHeight="1">
      <c r="A19" s="9">
        <v>46016</v>
      </c>
      <c r="B19" s="10">
        <v>16</v>
      </c>
      <c r="C19" s="7" t="s">
        <v>6</v>
      </c>
      <c r="D19" s="7" t="s">
        <v>7</v>
      </c>
      <c r="E19" s="6">
        <v>1</v>
      </c>
      <c r="F19" s="6" t="s">
        <v>103</v>
      </c>
      <c r="G19" s="6" t="s">
        <v>104</v>
      </c>
      <c r="H19" s="6" t="s">
        <v>105</v>
      </c>
    </row>
    <row r="20" ht="15" customHeight="1">
      <c r="A20" s="9">
        <v>46037</v>
      </c>
      <c r="B20" s="10">
        <v>16</v>
      </c>
      <c r="C20" s="7" t="s">
        <v>6</v>
      </c>
      <c r="D20" s="7" t="s">
        <v>7</v>
      </c>
      <c r="E20" s="6">
        <v>1</v>
      </c>
      <c r="F20" s="6" t="s">
        <v>103</v>
      </c>
      <c r="G20" s="6" t="s">
        <v>104</v>
      </c>
      <c r="H20" s="6" t="s">
        <v>105</v>
      </c>
    </row>
    <row r="21" ht="15" customHeight="1">
      <c r="A21" s="9">
        <v>46044</v>
      </c>
      <c r="B21" s="10">
        <v>16</v>
      </c>
      <c r="C21" s="7" t="s">
        <v>6</v>
      </c>
      <c r="D21" s="7" t="s">
        <v>7</v>
      </c>
      <c r="E21" s="6">
        <v>1</v>
      </c>
      <c r="F21" s="6" t="s">
        <v>103</v>
      </c>
      <c r="G21" s="6" t="s">
        <v>104</v>
      </c>
      <c r="H21" s="6" t="s">
        <v>105</v>
      </c>
    </row>
    <row r="22" ht="15" customHeight="1">
      <c r="A22" s="9">
        <v>46051</v>
      </c>
      <c r="B22" s="10">
        <v>16</v>
      </c>
      <c r="C22" s="7" t="s">
        <v>6</v>
      </c>
      <c r="D22" s="7" t="s">
        <v>7</v>
      </c>
      <c r="E22" s="6">
        <v>1</v>
      </c>
      <c r="F22" s="6" t="s">
        <v>103</v>
      </c>
      <c r="G22" s="6" t="s">
        <v>104</v>
      </c>
      <c r="H22" s="6" t="s">
        <v>105</v>
      </c>
    </row>
    <row r="23" ht="15" customHeight="1">
      <c r="A23" s="9">
        <v>46058</v>
      </c>
      <c r="B23" s="10">
        <v>16</v>
      </c>
      <c r="C23" s="7" t="s">
        <v>6</v>
      </c>
      <c r="D23" s="7" t="s">
        <v>7</v>
      </c>
      <c r="E23" s="6">
        <v>1</v>
      </c>
      <c r="F23" s="6" t="s">
        <v>103</v>
      </c>
      <c r="G23" s="6" t="s">
        <v>104</v>
      </c>
      <c r="H23" s="6" t="s">
        <v>105</v>
      </c>
    </row>
    <row r="24" ht="15" customHeight="1">
      <c r="A24" s="9">
        <v>46065</v>
      </c>
      <c r="B24" s="10">
        <v>16</v>
      </c>
      <c r="C24" s="7" t="s">
        <v>6</v>
      </c>
      <c r="D24" s="7" t="s">
        <v>7</v>
      </c>
      <c r="E24" s="6">
        <v>1</v>
      </c>
      <c r="F24" s="6" t="s">
        <v>103</v>
      </c>
      <c r="G24" s="6" t="s">
        <v>104</v>
      </c>
      <c r="H24" s="6" t="s">
        <v>105</v>
      </c>
    </row>
    <row r="25" ht="15" customHeight="1">
      <c r="A25" s="9">
        <v>46072</v>
      </c>
      <c r="B25" s="10">
        <v>16</v>
      </c>
      <c r="C25" s="7" t="s">
        <v>6</v>
      </c>
      <c r="D25" s="7" t="s">
        <v>7</v>
      </c>
      <c r="E25" s="6">
        <v>1</v>
      </c>
      <c r="F25" s="6" t="s">
        <v>103</v>
      </c>
      <c r="G25" s="6" t="s">
        <v>104</v>
      </c>
      <c r="H25" s="6" t="s">
        <v>105</v>
      </c>
    </row>
    <row r="26" ht="15" customHeight="1">
      <c r="A26" s="9">
        <v>46079</v>
      </c>
      <c r="B26" s="10">
        <v>16</v>
      </c>
      <c r="C26" s="7" t="s">
        <v>6</v>
      </c>
      <c r="D26" s="7" t="s">
        <v>7</v>
      </c>
      <c r="E26" s="6">
        <v>1</v>
      </c>
      <c r="F26" s="6" t="s">
        <v>103</v>
      </c>
      <c r="G26" s="6" t="s">
        <v>104</v>
      </c>
      <c r="H26" s="6" t="s">
        <v>105</v>
      </c>
    </row>
    <row r="27" ht="15" customHeight="1">
      <c r="A27" s="9">
        <v>46086</v>
      </c>
      <c r="B27" s="10">
        <v>16</v>
      </c>
      <c r="C27" s="7" t="s">
        <v>6</v>
      </c>
      <c r="D27" s="7" t="s">
        <v>7</v>
      </c>
      <c r="E27" s="6">
        <v>1</v>
      </c>
      <c r="F27" s="6" t="s">
        <v>103</v>
      </c>
      <c r="G27" s="6" t="s">
        <v>104</v>
      </c>
      <c r="H27" s="6" t="s">
        <v>105</v>
      </c>
    </row>
    <row r="28" ht="15" customHeight="1">
      <c r="A28" s="9">
        <v>46093</v>
      </c>
      <c r="B28" s="10">
        <v>16</v>
      </c>
      <c r="C28" s="7" t="s">
        <v>6</v>
      </c>
      <c r="D28" s="7" t="s">
        <v>7</v>
      </c>
      <c r="E28" s="6">
        <v>1</v>
      </c>
      <c r="F28" s="6" t="s">
        <v>103</v>
      </c>
      <c r="G28" s="6" t="s">
        <v>104</v>
      </c>
      <c r="H28" s="6" t="s">
        <v>105</v>
      </c>
    </row>
    <row r="29" ht="15" customHeight="1">
      <c r="A29" s="9">
        <v>46100</v>
      </c>
      <c r="B29" s="10">
        <v>16</v>
      </c>
      <c r="C29" s="7" t="s">
        <v>6</v>
      </c>
      <c r="D29" s="7" t="s">
        <v>7</v>
      </c>
      <c r="E29" s="6">
        <v>1</v>
      </c>
      <c r="F29" s="6" t="s">
        <v>103</v>
      </c>
      <c r="G29" s="6" t="s">
        <v>104</v>
      </c>
      <c r="H29" s="6" t="s">
        <v>105</v>
      </c>
    </row>
    <row r="30" ht="15" customHeight="1">
      <c r="A30" s="9">
        <v>46107</v>
      </c>
      <c r="B30" s="10">
        <v>16</v>
      </c>
      <c r="C30" s="7" t="s">
        <v>6</v>
      </c>
      <c r="D30" s="7" t="s">
        <v>7</v>
      </c>
      <c r="E30" s="6">
        <v>1</v>
      </c>
      <c r="F30" s="6" t="s">
        <v>103</v>
      </c>
      <c r="G30" s="6" t="s">
        <v>104</v>
      </c>
      <c r="H30" s="6" t="s">
        <v>105</v>
      </c>
    </row>
    <row r="31" ht="15" customHeight="1">
      <c r="A31" s="9">
        <v>46114</v>
      </c>
      <c r="B31" s="10">
        <v>16</v>
      </c>
      <c r="C31" s="7" t="s">
        <v>6</v>
      </c>
      <c r="D31" s="7" t="s">
        <v>7</v>
      </c>
      <c r="E31" s="6">
        <v>1</v>
      </c>
      <c r="F31" s="6" t="s">
        <v>103</v>
      </c>
      <c r="G31" s="6" t="s">
        <v>104</v>
      </c>
      <c r="H31" s="6" t="s">
        <v>105</v>
      </c>
    </row>
    <row r="32" ht="15" customHeight="1">
      <c r="A32" s="9">
        <v>46121</v>
      </c>
      <c r="B32" s="10">
        <v>16</v>
      </c>
      <c r="C32" s="7" t="s">
        <v>6</v>
      </c>
      <c r="D32" s="7" t="s">
        <v>7</v>
      </c>
      <c r="E32" s="6">
        <v>1</v>
      </c>
      <c r="F32" s="6" t="s">
        <v>103</v>
      </c>
      <c r="G32" s="6" t="s">
        <v>104</v>
      </c>
      <c r="H32" s="6" t="s">
        <v>105</v>
      </c>
    </row>
    <row r="33" ht="15" customHeight="1">
      <c r="A33" s="9">
        <v>45897</v>
      </c>
      <c r="B33" s="11">
        <v>515</v>
      </c>
      <c r="C33" s="7" t="s">
        <v>16</v>
      </c>
      <c r="D33" s="7" t="s">
        <v>17</v>
      </c>
      <c r="E33" s="6">
        <v>1</v>
      </c>
      <c r="F33" s="6" t="s">
        <v>103</v>
      </c>
      <c r="G33" s="6" t="s">
        <v>104</v>
      </c>
      <c r="H33" s="6" t="s">
        <v>105</v>
      </c>
    </row>
    <row r="34" ht="15" customHeight="1">
      <c r="A34" s="9">
        <v>45904</v>
      </c>
      <c r="B34" s="11">
        <v>546</v>
      </c>
      <c r="C34" s="7" t="s">
        <v>16</v>
      </c>
      <c r="D34" s="7" t="s">
        <v>17</v>
      </c>
      <c r="E34" s="6">
        <v>1</v>
      </c>
      <c r="F34" s="6" t="s">
        <v>103</v>
      </c>
      <c r="G34" s="6" t="s">
        <v>104</v>
      </c>
      <c r="H34" s="6" t="s">
        <v>105</v>
      </c>
    </row>
    <row r="35" ht="15" customHeight="1">
      <c r="A35" s="9">
        <v>45911</v>
      </c>
      <c r="B35" s="11">
        <v>499</v>
      </c>
      <c r="C35" s="7" t="s">
        <v>16</v>
      </c>
      <c r="D35" s="7" t="s">
        <v>17</v>
      </c>
      <c r="E35" s="6">
        <v>1</v>
      </c>
      <c r="F35" s="6" t="s">
        <v>103</v>
      </c>
      <c r="G35" s="6" t="s">
        <v>104</v>
      </c>
      <c r="H35" s="6" t="s">
        <v>105</v>
      </c>
    </row>
    <row r="36" ht="15" customHeight="1">
      <c r="A36" s="9">
        <v>45918</v>
      </c>
      <c r="B36" s="11">
        <v>518</v>
      </c>
      <c r="C36" s="7" t="s">
        <v>16</v>
      </c>
      <c r="D36" s="7" t="s">
        <v>17</v>
      </c>
      <c r="E36" s="6">
        <v>1</v>
      </c>
      <c r="F36" s="6" t="s">
        <v>103</v>
      </c>
      <c r="G36" s="6" t="s">
        <v>104</v>
      </c>
      <c r="H36" s="6" t="s">
        <v>105</v>
      </c>
    </row>
    <row r="37" ht="15" customHeight="1">
      <c r="A37" s="9">
        <v>45925</v>
      </c>
      <c r="B37" s="11">
        <v>497</v>
      </c>
      <c r="C37" s="7" t="s">
        <v>16</v>
      </c>
      <c r="D37" s="7" t="s">
        <v>17</v>
      </c>
      <c r="E37" s="6">
        <v>1</v>
      </c>
      <c r="F37" s="6" t="s">
        <v>103</v>
      </c>
      <c r="G37" s="6" t="s">
        <v>104</v>
      </c>
      <c r="H37" s="6" t="s">
        <v>105</v>
      </c>
    </row>
    <row r="38" ht="15" customHeight="1">
      <c r="A38" s="9">
        <v>45932</v>
      </c>
      <c r="B38" s="11">
        <v>517</v>
      </c>
      <c r="C38" s="7" t="s">
        <v>16</v>
      </c>
      <c r="D38" s="7" t="s">
        <v>17</v>
      </c>
      <c r="E38" s="6">
        <v>1</v>
      </c>
      <c r="F38" s="6" t="s">
        <v>103</v>
      </c>
      <c r="G38" s="6" t="s">
        <v>104</v>
      </c>
      <c r="H38" s="6" t="s">
        <v>105</v>
      </c>
    </row>
    <row r="39" ht="15" customHeight="1">
      <c r="A39" s="9">
        <v>45939</v>
      </c>
      <c r="B39" s="11">
        <v>433</v>
      </c>
      <c r="C39" s="7" t="s">
        <v>16</v>
      </c>
      <c r="D39" s="7" t="s">
        <v>17</v>
      </c>
      <c r="E39" s="6">
        <v>1</v>
      </c>
      <c r="F39" s="6" t="s">
        <v>103</v>
      </c>
      <c r="G39" s="6" t="s">
        <v>104</v>
      </c>
      <c r="H39" s="6" t="s">
        <v>105</v>
      </c>
    </row>
    <row r="40" ht="15" customHeight="1">
      <c r="A40" s="9">
        <v>45946</v>
      </c>
      <c r="B40" s="11">
        <v>448</v>
      </c>
      <c r="C40" s="7" t="s">
        <v>16</v>
      </c>
      <c r="D40" s="7" t="s">
        <v>17</v>
      </c>
      <c r="E40" s="6">
        <v>1</v>
      </c>
      <c r="F40" s="6" t="s">
        <v>103</v>
      </c>
      <c r="G40" s="6" t="s">
        <v>104</v>
      </c>
      <c r="H40" s="6" t="s">
        <v>105</v>
      </c>
    </row>
    <row r="41" ht="15" customHeight="1">
      <c r="A41" s="9">
        <v>45953</v>
      </c>
      <c r="B41" s="11">
        <v>473</v>
      </c>
      <c r="C41" s="7" t="s">
        <v>16</v>
      </c>
      <c r="D41" s="7" t="s">
        <v>17</v>
      </c>
      <c r="E41" s="6">
        <v>1</v>
      </c>
      <c r="F41" s="6" t="s">
        <v>103</v>
      </c>
      <c r="G41" s="6" t="s">
        <v>104</v>
      </c>
      <c r="H41" s="6" t="s">
        <v>105</v>
      </c>
    </row>
    <row r="42" ht="15" customHeight="1">
      <c r="A42" s="9">
        <v>45960</v>
      </c>
      <c r="B42" s="11">
        <v>504</v>
      </c>
      <c r="C42" s="7" t="s">
        <v>16</v>
      </c>
      <c r="D42" s="7" t="s">
        <v>17</v>
      </c>
      <c r="E42" s="6">
        <v>1</v>
      </c>
      <c r="F42" s="6" t="s">
        <v>103</v>
      </c>
      <c r="G42" s="6" t="s">
        <v>104</v>
      </c>
      <c r="H42" s="6" t="s">
        <v>105</v>
      </c>
    </row>
    <row r="43" ht="15" customHeight="1">
      <c r="A43" s="9">
        <v>45967</v>
      </c>
      <c r="B43" s="11">
        <v>573</v>
      </c>
      <c r="C43" s="7" t="s">
        <v>16</v>
      </c>
      <c r="D43" s="7" t="s">
        <v>17</v>
      </c>
      <c r="E43" s="6">
        <v>1</v>
      </c>
      <c r="F43" s="6" t="s">
        <v>103</v>
      </c>
      <c r="G43" s="6" t="s">
        <v>104</v>
      </c>
      <c r="H43" s="6" t="s">
        <v>105</v>
      </c>
    </row>
    <row r="44" ht="15" customHeight="1">
      <c r="A44" s="9">
        <v>45974</v>
      </c>
      <c r="B44" s="11">
        <v>516</v>
      </c>
      <c r="C44" s="7" t="s">
        <v>16</v>
      </c>
      <c r="D44" s="7" t="s">
        <v>17</v>
      </c>
      <c r="E44" s="6">
        <v>1</v>
      </c>
      <c r="F44" s="6" t="s">
        <v>103</v>
      </c>
      <c r="G44" s="6" t="s">
        <v>104</v>
      </c>
      <c r="H44" s="6" t="s">
        <v>105</v>
      </c>
    </row>
    <row r="45" ht="15" customHeight="1">
      <c r="A45" s="9">
        <v>45981</v>
      </c>
      <c r="B45" s="11">
        <v>487</v>
      </c>
      <c r="C45" s="7" t="s">
        <v>16</v>
      </c>
      <c r="D45" s="7" t="s">
        <v>17</v>
      </c>
      <c r="E45" s="6">
        <v>1</v>
      </c>
      <c r="F45" s="6" t="s">
        <v>103</v>
      </c>
      <c r="G45" s="6" t="s">
        <v>104</v>
      </c>
      <c r="H45" s="6" t="s">
        <v>105</v>
      </c>
    </row>
    <row r="46" ht="15" customHeight="1">
      <c r="A46" s="9">
        <v>45988</v>
      </c>
      <c r="B46" s="11">
        <v>467</v>
      </c>
      <c r="C46" s="7" t="s">
        <v>16</v>
      </c>
      <c r="D46" s="7" t="s">
        <v>17</v>
      </c>
      <c r="E46" s="6">
        <v>1</v>
      </c>
      <c r="F46" s="6" t="s">
        <v>103</v>
      </c>
      <c r="G46" s="6" t="s">
        <v>104</v>
      </c>
      <c r="H46" s="6" t="s">
        <v>105</v>
      </c>
    </row>
    <row r="47" ht="15" customHeight="1">
      <c r="A47" s="9">
        <v>45995</v>
      </c>
      <c r="B47" s="7">
        <v>499</v>
      </c>
      <c r="C47" s="7" t="s">
        <v>16</v>
      </c>
      <c r="D47" s="7" t="s">
        <v>17</v>
      </c>
      <c r="E47" s="6">
        <v>1</v>
      </c>
      <c r="F47" s="6" t="s">
        <v>103</v>
      </c>
      <c r="G47" s="6" t="s">
        <v>104</v>
      </c>
      <c r="H47" s="6" t="s">
        <v>105</v>
      </c>
    </row>
    <row r="48" ht="15" customHeight="1">
      <c r="A48" s="9">
        <v>46002</v>
      </c>
      <c r="B48" s="7">
        <v>625</v>
      </c>
      <c r="C48" s="7" t="s">
        <v>16</v>
      </c>
      <c r="D48" s="7" t="s">
        <v>17</v>
      </c>
      <c r="E48" s="6">
        <v>1</v>
      </c>
      <c r="F48" s="6" t="s">
        <v>103</v>
      </c>
      <c r="G48" s="6" t="s">
        <v>104</v>
      </c>
      <c r="H48" s="6" t="s">
        <v>105</v>
      </c>
    </row>
    <row r="49" ht="15" customHeight="1">
      <c r="A49" s="9">
        <v>46009</v>
      </c>
      <c r="B49" s="7">
        <v>891</v>
      </c>
      <c r="C49" s="7" t="s">
        <v>16</v>
      </c>
      <c r="D49" s="7" t="s">
        <v>17</v>
      </c>
      <c r="E49" s="6">
        <v>1</v>
      </c>
      <c r="F49" s="6" t="s">
        <v>103</v>
      </c>
      <c r="G49" s="6" t="s">
        <v>104</v>
      </c>
      <c r="H49" s="6" t="s">
        <v>105</v>
      </c>
    </row>
    <row r="50" ht="15" customHeight="1">
      <c r="A50" s="9">
        <v>46016</v>
      </c>
      <c r="B50" s="7">
        <v>903</v>
      </c>
      <c r="C50" s="7" t="s">
        <v>16</v>
      </c>
      <c r="D50" s="7" t="s">
        <v>17</v>
      </c>
      <c r="E50" s="6">
        <v>1</v>
      </c>
      <c r="F50" s="6" t="s">
        <v>103</v>
      </c>
      <c r="G50" s="6" t="s">
        <v>104</v>
      </c>
      <c r="H50" s="6" t="s">
        <v>105</v>
      </c>
    </row>
    <row r="51" ht="15" customHeight="1">
      <c r="A51" s="9">
        <v>46037</v>
      </c>
      <c r="B51" s="7">
        <v>857</v>
      </c>
      <c r="C51" s="7" t="s">
        <v>16</v>
      </c>
      <c r="D51" s="7" t="s">
        <v>17</v>
      </c>
      <c r="E51" s="6">
        <v>1</v>
      </c>
      <c r="F51" s="6" t="s">
        <v>103</v>
      </c>
      <c r="G51" s="6" t="s">
        <v>104</v>
      </c>
      <c r="H51" s="6" t="s">
        <v>105</v>
      </c>
    </row>
    <row r="52" ht="15" customHeight="1">
      <c r="A52" s="9">
        <v>46044</v>
      </c>
      <c r="B52" s="7">
        <v>807</v>
      </c>
      <c r="C52" s="7" t="s">
        <v>16</v>
      </c>
      <c r="D52" s="7" t="s">
        <v>17</v>
      </c>
      <c r="E52" s="6">
        <v>1</v>
      </c>
      <c r="F52" s="6" t="s">
        <v>103</v>
      </c>
      <c r="G52" s="6" t="s">
        <v>104</v>
      </c>
      <c r="H52" s="6" t="s">
        <v>105</v>
      </c>
    </row>
    <row r="53" ht="15" customHeight="1">
      <c r="A53" s="9">
        <v>46051</v>
      </c>
      <c r="B53" s="7">
        <v>791</v>
      </c>
      <c r="C53" s="7" t="s">
        <v>16</v>
      </c>
      <c r="D53" s="7" t="s">
        <v>17</v>
      </c>
      <c r="E53" s="6">
        <v>1</v>
      </c>
      <c r="F53" s="6" t="s">
        <v>103</v>
      </c>
      <c r="G53" s="6" t="s">
        <v>104</v>
      </c>
      <c r="H53" s="6" t="s">
        <v>105</v>
      </c>
    </row>
    <row r="54" ht="15" customHeight="1">
      <c r="A54" s="9">
        <v>46058</v>
      </c>
      <c r="B54" s="7">
        <v>759</v>
      </c>
      <c r="C54" s="7" t="s">
        <v>16</v>
      </c>
      <c r="D54" s="7" t="s">
        <v>17</v>
      </c>
      <c r="E54" s="6">
        <v>1</v>
      </c>
      <c r="F54" s="6" t="s">
        <v>103</v>
      </c>
      <c r="G54" s="6" t="s">
        <v>104</v>
      </c>
      <c r="H54" s="6" t="s">
        <v>105</v>
      </c>
    </row>
    <row r="55" ht="15" customHeight="1">
      <c r="A55" s="9">
        <v>46065</v>
      </c>
      <c r="B55" s="7">
        <v>734</v>
      </c>
      <c r="C55" s="7" t="s">
        <v>16</v>
      </c>
      <c r="D55" s="7" t="s">
        <v>17</v>
      </c>
      <c r="E55" s="6">
        <v>1</v>
      </c>
      <c r="F55" s="6" t="s">
        <v>103</v>
      </c>
      <c r="G55" s="6" t="s">
        <v>104</v>
      </c>
      <c r="H55" s="6" t="s">
        <v>105</v>
      </c>
    </row>
    <row r="56" ht="15" customHeight="1">
      <c r="A56" s="9">
        <v>46072</v>
      </c>
      <c r="B56" s="7">
        <v>733</v>
      </c>
      <c r="C56" s="7" t="s">
        <v>16</v>
      </c>
      <c r="D56" s="7" t="s">
        <v>17</v>
      </c>
      <c r="E56" s="6">
        <v>1</v>
      </c>
      <c r="F56" s="6" t="s">
        <v>103</v>
      </c>
      <c r="G56" s="6" t="s">
        <v>104</v>
      </c>
      <c r="H56" s="6" t="s">
        <v>105</v>
      </c>
    </row>
    <row r="57" ht="15" customHeight="1">
      <c r="A57" s="9">
        <v>46079</v>
      </c>
      <c r="B57" s="7">
        <v>659</v>
      </c>
      <c r="C57" s="7" t="s">
        <v>16</v>
      </c>
      <c r="D57" s="7" t="s">
        <v>17</v>
      </c>
      <c r="E57" s="6">
        <v>1</v>
      </c>
      <c r="F57" s="6" t="s">
        <v>103</v>
      </c>
      <c r="G57" s="6" t="s">
        <v>104</v>
      </c>
      <c r="H57" s="6" t="s">
        <v>105</v>
      </c>
    </row>
    <row r="58" ht="15" customHeight="1">
      <c r="A58" s="9">
        <v>46086</v>
      </c>
      <c r="B58" s="7">
        <v>609</v>
      </c>
      <c r="C58" s="7" t="s">
        <v>16</v>
      </c>
      <c r="D58" s="7" t="s">
        <v>17</v>
      </c>
      <c r="E58" s="6">
        <v>1</v>
      </c>
      <c r="F58" s="6" t="s">
        <v>103</v>
      </c>
      <c r="G58" s="6" t="s">
        <v>104</v>
      </c>
      <c r="H58" s="6" t="s">
        <v>105</v>
      </c>
    </row>
    <row r="59" ht="15" customHeight="1">
      <c r="A59" s="9">
        <v>46093</v>
      </c>
      <c r="B59" s="7">
        <v>650</v>
      </c>
      <c r="C59" s="7" t="s">
        <v>16</v>
      </c>
      <c r="D59" s="7" t="s">
        <v>17</v>
      </c>
      <c r="E59" s="6">
        <v>1</v>
      </c>
      <c r="F59" s="6" t="s">
        <v>103</v>
      </c>
      <c r="G59" s="6" t="s">
        <v>104</v>
      </c>
      <c r="H59" s="6" t="s">
        <v>105</v>
      </c>
    </row>
    <row r="60" ht="15" customHeight="1">
      <c r="A60" s="9">
        <v>46100</v>
      </c>
      <c r="B60" s="7">
        <v>688</v>
      </c>
      <c r="C60" s="7" t="s">
        <v>16</v>
      </c>
      <c r="D60" s="7" t="s">
        <v>17</v>
      </c>
      <c r="E60" s="6">
        <v>1</v>
      </c>
      <c r="F60" s="6" t="s">
        <v>103</v>
      </c>
      <c r="G60" s="6" t="s">
        <v>104</v>
      </c>
      <c r="H60" s="6" t="s">
        <v>105</v>
      </c>
    </row>
    <row r="61" ht="15" customHeight="1">
      <c r="A61" s="9">
        <v>46107</v>
      </c>
      <c r="B61" s="7">
        <v>651</v>
      </c>
      <c r="C61" s="7" t="s">
        <v>16</v>
      </c>
      <c r="D61" s="7" t="s">
        <v>17</v>
      </c>
      <c r="E61" s="6">
        <v>1</v>
      </c>
      <c r="F61" s="6" t="s">
        <v>103</v>
      </c>
      <c r="G61" s="6" t="s">
        <v>104</v>
      </c>
      <c r="H61" s="6" t="s">
        <v>105</v>
      </c>
    </row>
    <row r="62" ht="15" customHeight="1">
      <c r="A62" s="9">
        <v>46114</v>
      </c>
      <c r="B62" s="7">
        <v>574</v>
      </c>
      <c r="C62" s="7" t="s">
        <v>16</v>
      </c>
      <c r="D62" s="7" t="s">
        <v>17</v>
      </c>
      <c r="E62" s="6">
        <v>1</v>
      </c>
      <c r="F62" s="6" t="s">
        <v>103</v>
      </c>
      <c r="G62" s="6" t="s">
        <v>104</v>
      </c>
      <c r="H62" s="6" t="s">
        <v>105</v>
      </c>
    </row>
    <row r="63" ht="15" customHeight="1">
      <c r="A63" s="9">
        <v>46121</v>
      </c>
      <c r="B63" s="12">
        <v>635</v>
      </c>
      <c r="C63" s="7" t="s">
        <v>16</v>
      </c>
      <c r="D63" s="7" t="s">
        <v>17</v>
      </c>
      <c r="E63" s="6">
        <v>1</v>
      </c>
      <c r="F63" s="6" t="s">
        <v>103</v>
      </c>
      <c r="G63" s="6" t="s">
        <v>104</v>
      </c>
      <c r="H63" s="6" t="s">
        <v>105</v>
      </c>
    </row>
    <row r="64" ht="15" customHeight="1">
      <c r="A64" s="9">
        <v>45897</v>
      </c>
      <c r="B64" s="7">
        <v>621</v>
      </c>
      <c r="C64" s="7" t="s">
        <v>18</v>
      </c>
      <c r="D64" s="7" t="s">
        <v>19</v>
      </c>
      <c r="E64" s="6">
        <v>1</v>
      </c>
      <c r="F64" s="6" t="s">
        <v>106</v>
      </c>
      <c r="G64" s="6" t="s">
        <v>104</v>
      </c>
      <c r="H64" s="6" t="s">
        <v>105</v>
      </c>
    </row>
    <row r="65" ht="15" customHeight="1">
      <c r="A65" s="9">
        <v>45904</v>
      </c>
      <c r="B65" s="7">
        <v>646</v>
      </c>
      <c r="C65" s="7" t="s">
        <v>18</v>
      </c>
      <c r="D65" s="7" t="s">
        <v>19</v>
      </c>
      <c r="E65" s="6">
        <v>1</v>
      </c>
      <c r="F65" s="6" t="s">
        <v>106</v>
      </c>
      <c r="G65" s="6" t="s">
        <v>104</v>
      </c>
      <c r="H65" s="6" t="s">
        <v>105</v>
      </c>
    </row>
    <row r="66" ht="15" customHeight="1">
      <c r="A66" s="9">
        <v>45911</v>
      </c>
      <c r="B66" s="7">
        <v>599</v>
      </c>
      <c r="C66" s="7" t="s">
        <v>18</v>
      </c>
      <c r="D66" s="7" t="s">
        <v>19</v>
      </c>
      <c r="E66" s="6">
        <v>1</v>
      </c>
      <c r="F66" s="6" t="s">
        <v>106</v>
      </c>
      <c r="G66" s="6" t="s">
        <v>104</v>
      </c>
      <c r="H66" s="6" t="s">
        <v>105</v>
      </c>
    </row>
    <row r="67" ht="15" customHeight="1">
      <c r="A67" s="9">
        <v>45918</v>
      </c>
      <c r="B67" s="7">
        <v>611</v>
      </c>
      <c r="C67" s="7" t="s">
        <v>18</v>
      </c>
      <c r="D67" s="7" t="s">
        <v>19</v>
      </c>
      <c r="E67" s="6">
        <v>1</v>
      </c>
      <c r="F67" s="6" t="s">
        <v>106</v>
      </c>
      <c r="G67" s="6" t="s">
        <v>104</v>
      </c>
      <c r="H67" s="6" t="s">
        <v>105</v>
      </c>
    </row>
    <row r="68" ht="15" customHeight="1">
      <c r="A68" s="9">
        <v>45925</v>
      </c>
      <c r="B68" s="7">
        <v>587</v>
      </c>
      <c r="C68" s="7" t="s">
        <v>18</v>
      </c>
      <c r="D68" s="7" t="s">
        <v>19</v>
      </c>
      <c r="E68" s="6">
        <v>1</v>
      </c>
      <c r="F68" s="6" t="s">
        <v>106</v>
      </c>
      <c r="G68" s="6" t="s">
        <v>104</v>
      </c>
      <c r="H68" s="6" t="s">
        <v>105</v>
      </c>
    </row>
    <row r="69" ht="15" customHeight="1">
      <c r="A69" s="9">
        <v>45932</v>
      </c>
      <c r="B69" s="7">
        <v>612</v>
      </c>
      <c r="C69" s="7" t="s">
        <v>18</v>
      </c>
      <c r="D69" s="7" t="s">
        <v>19</v>
      </c>
      <c r="E69" s="6">
        <v>1</v>
      </c>
      <c r="F69" s="6" t="s">
        <v>106</v>
      </c>
      <c r="G69" s="6" t="s">
        <v>104</v>
      </c>
      <c r="H69" s="6" t="s">
        <v>105</v>
      </c>
    </row>
    <row r="70" ht="15" customHeight="1">
      <c r="A70" s="9">
        <v>45939</v>
      </c>
      <c r="B70" s="7">
        <v>504</v>
      </c>
      <c r="C70" s="7" t="s">
        <v>18</v>
      </c>
      <c r="D70" s="7" t="s">
        <v>19</v>
      </c>
      <c r="E70" s="6">
        <v>1</v>
      </c>
      <c r="F70" s="6" t="s">
        <v>106</v>
      </c>
      <c r="G70" s="6" t="s">
        <v>104</v>
      </c>
      <c r="H70" s="6" t="s">
        <v>105</v>
      </c>
    </row>
    <row r="71" ht="15" customHeight="1">
      <c r="A71" s="9">
        <v>45946</v>
      </c>
      <c r="B71" s="7">
        <v>541</v>
      </c>
      <c r="C71" s="7" t="s">
        <v>18</v>
      </c>
      <c r="D71" s="7" t="s">
        <v>19</v>
      </c>
      <c r="E71" s="6">
        <v>1</v>
      </c>
      <c r="F71" s="6" t="s">
        <v>106</v>
      </c>
      <c r="G71" s="6" t="s">
        <v>104</v>
      </c>
      <c r="H71" s="6" t="s">
        <v>105</v>
      </c>
    </row>
    <row r="72" ht="15" customHeight="1">
      <c r="A72" s="9">
        <v>45953</v>
      </c>
      <c r="B72" s="7">
        <v>551</v>
      </c>
      <c r="C72" s="7" t="s">
        <v>18</v>
      </c>
      <c r="D72" s="7" t="s">
        <v>19</v>
      </c>
      <c r="E72" s="6">
        <v>1</v>
      </c>
      <c r="F72" s="6" t="s">
        <v>106</v>
      </c>
      <c r="G72" s="6" t="s">
        <v>104</v>
      </c>
      <c r="H72" s="6" t="s">
        <v>105</v>
      </c>
    </row>
    <row r="73" ht="15" customHeight="1">
      <c r="A73" s="9">
        <v>45960</v>
      </c>
      <c r="B73" s="7">
        <v>597</v>
      </c>
      <c r="C73" s="7" t="s">
        <v>18</v>
      </c>
      <c r="D73" s="7" t="s">
        <v>19</v>
      </c>
      <c r="E73" s="6">
        <v>1</v>
      </c>
      <c r="F73" s="6" t="s">
        <v>106</v>
      </c>
      <c r="G73" s="6" t="s">
        <v>104</v>
      </c>
      <c r="H73" s="6" t="s">
        <v>105</v>
      </c>
    </row>
    <row r="74" ht="15" customHeight="1">
      <c r="A74" s="9">
        <v>45967</v>
      </c>
      <c r="B74" s="7">
        <v>652</v>
      </c>
      <c r="C74" s="7" t="s">
        <v>18</v>
      </c>
      <c r="D74" s="7" t="s">
        <v>19</v>
      </c>
      <c r="E74" s="6">
        <v>1</v>
      </c>
      <c r="F74" s="6" t="s">
        <v>106</v>
      </c>
      <c r="G74" s="6" t="s">
        <v>104</v>
      </c>
      <c r="H74" s="6" t="s">
        <v>105</v>
      </c>
    </row>
    <row r="75" ht="15" customHeight="1">
      <c r="A75" s="9">
        <v>45974</v>
      </c>
      <c r="B75" s="7">
        <v>602</v>
      </c>
      <c r="C75" s="7" t="s">
        <v>18</v>
      </c>
      <c r="D75" s="7" t="s">
        <v>19</v>
      </c>
      <c r="E75" s="6">
        <v>1</v>
      </c>
      <c r="F75" s="6" t="s">
        <v>106</v>
      </c>
      <c r="G75" s="6" t="s">
        <v>104</v>
      </c>
      <c r="H75" s="6" t="s">
        <v>105</v>
      </c>
    </row>
    <row r="76" ht="15" customHeight="1">
      <c r="A76" s="9">
        <v>45981</v>
      </c>
      <c r="B76" s="7">
        <v>586</v>
      </c>
      <c r="C76" s="7" t="s">
        <v>18</v>
      </c>
      <c r="D76" s="7" t="s">
        <v>19</v>
      </c>
      <c r="E76" s="6">
        <v>1</v>
      </c>
      <c r="F76" s="6" t="s">
        <v>106</v>
      </c>
      <c r="G76" s="6" t="s">
        <v>104</v>
      </c>
      <c r="H76" s="6" t="s">
        <v>105</v>
      </c>
    </row>
    <row r="77" ht="15" customHeight="1">
      <c r="A77" s="9">
        <v>45988</v>
      </c>
      <c r="B77" s="7">
        <v>639</v>
      </c>
      <c r="C77" s="7" t="s">
        <v>18</v>
      </c>
      <c r="D77" s="7" t="s">
        <v>19</v>
      </c>
      <c r="E77" s="6">
        <v>1</v>
      </c>
      <c r="F77" s="6" t="s">
        <v>106</v>
      </c>
      <c r="G77" s="6" t="s">
        <v>104</v>
      </c>
      <c r="H77" s="6" t="s">
        <v>105</v>
      </c>
    </row>
    <row r="78" ht="15" customHeight="1">
      <c r="A78" s="9">
        <v>45995</v>
      </c>
      <c r="B78" s="7">
        <v>648</v>
      </c>
      <c r="C78" s="7" t="s">
        <v>18</v>
      </c>
      <c r="D78" s="7" t="s">
        <v>19</v>
      </c>
      <c r="E78" s="6">
        <v>1</v>
      </c>
      <c r="F78" s="6" t="s">
        <v>106</v>
      </c>
      <c r="G78" s="6" t="s">
        <v>104</v>
      </c>
      <c r="H78" s="6" t="s">
        <v>105</v>
      </c>
    </row>
    <row r="79" ht="15" customHeight="1">
      <c r="A79" s="9">
        <v>46002</v>
      </c>
      <c r="B79" s="7">
        <v>998</v>
      </c>
      <c r="C79" s="7" t="s">
        <v>18</v>
      </c>
      <c r="D79" s="7" t="s">
        <v>19</v>
      </c>
      <c r="E79" s="6">
        <v>1</v>
      </c>
      <c r="F79" s="6" t="s">
        <v>106</v>
      </c>
      <c r="G79" s="6" t="s">
        <v>104</v>
      </c>
      <c r="H79" s="6" t="s">
        <v>105</v>
      </c>
    </row>
    <row r="80" ht="15" customHeight="1">
      <c r="A80" s="9">
        <v>46009</v>
      </c>
      <c r="B80" s="7">
        <v>1605</v>
      </c>
      <c r="C80" s="7" t="s">
        <v>18</v>
      </c>
      <c r="D80" s="7" t="s">
        <v>19</v>
      </c>
      <c r="E80" s="6">
        <v>1</v>
      </c>
      <c r="F80" s="6" t="s">
        <v>106</v>
      </c>
      <c r="G80" s="6" t="s">
        <v>104</v>
      </c>
      <c r="H80" s="6" t="s">
        <v>105</v>
      </c>
    </row>
    <row r="81" ht="15" customHeight="1">
      <c r="A81" s="9">
        <v>46016</v>
      </c>
      <c r="B81" s="7">
        <v>1628</v>
      </c>
      <c r="C81" s="7" t="s">
        <v>18</v>
      </c>
      <c r="D81" s="7" t="s">
        <v>19</v>
      </c>
      <c r="E81" s="6">
        <v>1</v>
      </c>
      <c r="F81" s="6" t="s">
        <v>106</v>
      </c>
      <c r="G81" s="6" t="s">
        <v>104</v>
      </c>
      <c r="H81" s="6" t="s">
        <v>105</v>
      </c>
    </row>
    <row r="82" ht="15" customHeight="1">
      <c r="A82" s="9">
        <v>46037</v>
      </c>
      <c r="B82" s="7">
        <v>1496</v>
      </c>
      <c r="C82" s="7" t="s">
        <v>18</v>
      </c>
      <c r="D82" s="7" t="s">
        <v>19</v>
      </c>
      <c r="E82" s="6">
        <v>1</v>
      </c>
      <c r="F82" s="6" t="s">
        <v>106</v>
      </c>
      <c r="G82" s="6" t="s">
        <v>104</v>
      </c>
      <c r="H82" s="6" t="s">
        <v>105</v>
      </c>
    </row>
    <row r="83" ht="15" customHeight="1">
      <c r="A83" s="9">
        <v>46044</v>
      </c>
      <c r="B83" s="7">
        <v>1279</v>
      </c>
      <c r="C83" s="7" t="s">
        <v>18</v>
      </c>
      <c r="D83" s="7" t="s">
        <v>19</v>
      </c>
      <c r="E83" s="6">
        <v>1</v>
      </c>
      <c r="F83" s="6" t="s">
        <v>106</v>
      </c>
      <c r="G83" s="6" t="s">
        <v>104</v>
      </c>
      <c r="H83" s="6" t="s">
        <v>105</v>
      </c>
    </row>
    <row r="84" ht="15" customHeight="1">
      <c r="A84" s="9">
        <v>46051</v>
      </c>
      <c r="B84" s="7">
        <v>1309</v>
      </c>
      <c r="C84" s="7" t="s">
        <v>18</v>
      </c>
      <c r="D84" s="7" t="s">
        <v>19</v>
      </c>
      <c r="E84" s="6">
        <v>1</v>
      </c>
      <c r="F84" s="6" t="s">
        <v>106</v>
      </c>
      <c r="G84" s="6" t="s">
        <v>104</v>
      </c>
      <c r="H84" s="6" t="s">
        <v>105</v>
      </c>
    </row>
    <row r="85" ht="15" customHeight="1">
      <c r="A85" s="9">
        <v>46058</v>
      </c>
      <c r="B85" s="7">
        <v>1071</v>
      </c>
      <c r="C85" s="7" t="s">
        <v>18</v>
      </c>
      <c r="D85" s="7" t="s">
        <v>19</v>
      </c>
      <c r="E85" s="6">
        <v>1</v>
      </c>
      <c r="F85" s="6" t="s">
        <v>106</v>
      </c>
      <c r="G85" s="6" t="s">
        <v>104</v>
      </c>
      <c r="H85" s="6" t="s">
        <v>105</v>
      </c>
    </row>
    <row r="86" ht="15" customHeight="1">
      <c r="A86" s="9">
        <v>46065</v>
      </c>
      <c r="B86" s="7">
        <v>1123</v>
      </c>
      <c r="C86" s="7" t="s">
        <v>18</v>
      </c>
      <c r="D86" s="7" t="s">
        <v>19</v>
      </c>
      <c r="E86" s="6">
        <v>1</v>
      </c>
      <c r="F86" s="6" t="s">
        <v>106</v>
      </c>
      <c r="G86" s="6" t="s">
        <v>104</v>
      </c>
      <c r="H86" s="6" t="s">
        <v>105</v>
      </c>
    </row>
    <row r="87" ht="15" customHeight="1">
      <c r="A87" s="9">
        <v>46072</v>
      </c>
      <c r="B87" s="7">
        <v>1037</v>
      </c>
      <c r="C87" s="7" t="s">
        <v>18</v>
      </c>
      <c r="D87" s="7" t="s">
        <v>19</v>
      </c>
      <c r="E87" s="6">
        <v>1</v>
      </c>
      <c r="F87" s="6" t="s">
        <v>106</v>
      </c>
      <c r="G87" s="6" t="s">
        <v>104</v>
      </c>
      <c r="H87" s="6" t="s">
        <v>105</v>
      </c>
    </row>
    <row r="88" ht="15" customHeight="1">
      <c r="A88" s="9">
        <v>46079</v>
      </c>
      <c r="B88" s="7">
        <v>872</v>
      </c>
      <c r="C88" s="7" t="s">
        <v>18</v>
      </c>
      <c r="D88" s="7" t="s">
        <v>19</v>
      </c>
      <c r="E88" s="6">
        <v>1</v>
      </c>
      <c r="F88" s="6" t="s">
        <v>106</v>
      </c>
      <c r="G88" s="6" t="s">
        <v>104</v>
      </c>
      <c r="H88" s="6" t="s">
        <v>105</v>
      </c>
    </row>
    <row r="89" ht="15" customHeight="1">
      <c r="A89" s="9">
        <v>46086</v>
      </c>
      <c r="B89" s="7">
        <v>790</v>
      </c>
      <c r="C89" s="7" t="s">
        <v>18</v>
      </c>
      <c r="D89" s="7" t="s">
        <v>19</v>
      </c>
      <c r="E89" s="6">
        <v>1</v>
      </c>
      <c r="F89" s="6" t="s">
        <v>106</v>
      </c>
      <c r="G89" s="6" t="s">
        <v>104</v>
      </c>
      <c r="H89" s="6" t="s">
        <v>105</v>
      </c>
    </row>
    <row r="90" ht="15" customHeight="1">
      <c r="A90" s="9">
        <v>46093</v>
      </c>
      <c r="B90" s="7">
        <v>943</v>
      </c>
      <c r="C90" s="7" t="s">
        <v>18</v>
      </c>
      <c r="D90" s="7" t="s">
        <v>19</v>
      </c>
      <c r="E90" s="6">
        <v>1</v>
      </c>
      <c r="F90" s="6" t="s">
        <v>106</v>
      </c>
      <c r="G90" s="6" t="s">
        <v>104</v>
      </c>
      <c r="H90" s="6" t="s">
        <v>105</v>
      </c>
    </row>
    <row r="91" ht="15" customHeight="1">
      <c r="A91" s="9">
        <v>46100</v>
      </c>
      <c r="B91" s="7">
        <v>993</v>
      </c>
      <c r="C91" s="7" t="s">
        <v>18</v>
      </c>
      <c r="D91" s="7" t="s">
        <v>19</v>
      </c>
      <c r="E91" s="6">
        <v>1</v>
      </c>
      <c r="F91" s="6" t="s">
        <v>106</v>
      </c>
      <c r="G91" s="6" t="s">
        <v>104</v>
      </c>
      <c r="H91" s="6" t="s">
        <v>105</v>
      </c>
    </row>
    <row r="92" ht="15" customHeight="1">
      <c r="A92" s="9">
        <v>46107</v>
      </c>
      <c r="B92" s="7">
        <v>955</v>
      </c>
      <c r="C92" s="7" t="s">
        <v>18</v>
      </c>
      <c r="D92" s="7" t="s">
        <v>19</v>
      </c>
      <c r="E92" s="6">
        <v>1</v>
      </c>
      <c r="F92" s="6" t="s">
        <v>106</v>
      </c>
      <c r="G92" s="6" t="s">
        <v>104</v>
      </c>
      <c r="H92" s="6" t="s">
        <v>105</v>
      </c>
    </row>
    <row r="93" ht="15" customHeight="1">
      <c r="A93" s="9">
        <v>46114</v>
      </c>
      <c r="B93" s="7">
        <v>728</v>
      </c>
      <c r="C93" s="7" t="s">
        <v>18</v>
      </c>
      <c r="D93" s="7" t="s">
        <v>19</v>
      </c>
      <c r="E93" s="6">
        <v>1</v>
      </c>
      <c r="F93" s="6" t="s">
        <v>106</v>
      </c>
      <c r="G93" s="6" t="s">
        <v>104</v>
      </c>
      <c r="H93" s="6" t="s">
        <v>105</v>
      </c>
    </row>
    <row r="94" ht="15" customHeight="1">
      <c r="A94" s="9">
        <v>46121</v>
      </c>
      <c r="B94" s="12">
        <v>893</v>
      </c>
      <c r="C94" s="7" t="s">
        <v>18</v>
      </c>
      <c r="D94" s="7" t="s">
        <v>19</v>
      </c>
      <c r="E94" s="6">
        <v>1</v>
      </c>
      <c r="F94" s="6" t="s">
        <v>106</v>
      </c>
      <c r="G94" s="6" t="s">
        <v>104</v>
      </c>
      <c r="H94" s="6" t="s">
        <v>105</v>
      </c>
    </row>
    <row r="95" ht="15" customHeight="1">
      <c r="A95" s="9">
        <v>45897</v>
      </c>
      <c r="B95" s="13">
        <v>2.2157953281423803</v>
      </c>
      <c r="C95" s="7" t="s">
        <v>28</v>
      </c>
      <c r="D95" s="7" t="s">
        <v>29</v>
      </c>
      <c r="E95" s="6">
        <v>1</v>
      </c>
      <c r="F95" s="6" t="s">
        <v>107</v>
      </c>
      <c r="G95" s="6" t="s">
        <v>104</v>
      </c>
      <c r="H95" s="6" t="s">
        <v>105</v>
      </c>
    </row>
    <row r="96" ht="15" customHeight="1">
      <c r="A96" s="9">
        <v>45904</v>
      </c>
      <c r="B96" s="13">
        <v>2.3607907742998351</v>
      </c>
      <c r="C96" s="7" t="s">
        <v>28</v>
      </c>
      <c r="D96" s="7" t="s">
        <v>29</v>
      </c>
      <c r="E96" s="6">
        <v>1</v>
      </c>
      <c r="F96" s="6" t="s">
        <v>107</v>
      </c>
      <c r="G96" s="6" t="s">
        <v>104</v>
      </c>
      <c r="H96" s="6" t="s">
        <v>105</v>
      </c>
    </row>
    <row r="97" ht="15" customHeight="1">
      <c r="A97" s="9">
        <v>45911</v>
      </c>
      <c r="B97" s="13">
        <v>2.5322230267921797</v>
      </c>
      <c r="C97" s="7" t="s">
        <v>28</v>
      </c>
      <c r="D97" s="7" t="s">
        <v>29</v>
      </c>
      <c r="E97" s="6">
        <v>1</v>
      </c>
      <c r="F97" s="6" t="s">
        <v>107</v>
      </c>
      <c r="G97" s="6" t="s">
        <v>104</v>
      </c>
      <c r="H97" s="6" t="s">
        <v>105</v>
      </c>
    </row>
    <row r="98" ht="15" customHeight="1">
      <c r="A98" s="9">
        <v>45918</v>
      </c>
      <c r="B98" s="13">
        <v>2.6192821956368753</v>
      </c>
      <c r="C98" s="7" t="s">
        <v>28</v>
      </c>
      <c r="D98" s="7" t="s">
        <v>29</v>
      </c>
      <c r="E98" s="6">
        <v>1</v>
      </c>
      <c r="F98" s="6" t="s">
        <v>107</v>
      </c>
      <c r="G98" s="6" t="s">
        <v>104</v>
      </c>
      <c r="H98" s="6" t="s">
        <v>105</v>
      </c>
    </row>
    <row r="99" ht="15" customHeight="1">
      <c r="A99" s="9">
        <v>45925</v>
      </c>
      <c r="B99" s="13">
        <v>2.7321474773609311</v>
      </c>
      <c r="C99" s="7" t="s">
        <v>28</v>
      </c>
      <c r="D99" s="7" t="s">
        <v>29</v>
      </c>
      <c r="E99" s="6">
        <v>1</v>
      </c>
      <c r="F99" s="6" t="s">
        <v>107</v>
      </c>
      <c r="G99" s="6" t="s">
        <v>104</v>
      </c>
      <c r="H99" s="6" t="s">
        <v>105</v>
      </c>
    </row>
    <row r="100" ht="15" customHeight="1">
      <c r="A100" s="9">
        <v>45932</v>
      </c>
      <c r="B100" s="13">
        <v>2.7244967880085653</v>
      </c>
      <c r="C100" s="7" t="s">
        <v>28</v>
      </c>
      <c r="D100" s="7" t="s">
        <v>29</v>
      </c>
      <c r="E100" s="6">
        <v>1</v>
      </c>
      <c r="F100" s="6" t="s">
        <v>107</v>
      </c>
      <c r="G100" s="6" t="s">
        <v>104</v>
      </c>
      <c r="H100" s="6" t="s">
        <v>105</v>
      </c>
    </row>
    <row r="101" ht="15" customHeight="1">
      <c r="A101" s="9">
        <v>45939</v>
      </c>
      <c r="B101" s="13">
        <v>2.7191525423728811</v>
      </c>
      <c r="C101" s="7" t="s">
        <v>28</v>
      </c>
      <c r="D101" s="7" t="s">
        <v>29</v>
      </c>
      <c r="E101" s="6">
        <v>1</v>
      </c>
      <c r="F101" s="6" t="s">
        <v>107</v>
      </c>
      <c r="G101" s="6" t="s">
        <v>104</v>
      </c>
      <c r="H101" s="6" t="s">
        <v>105</v>
      </c>
    </row>
    <row r="102" ht="15" customHeight="1">
      <c r="A102" s="9">
        <v>45946</v>
      </c>
      <c r="B102" s="13">
        <v>2.9485117691723617</v>
      </c>
      <c r="C102" s="7" t="s">
        <v>28</v>
      </c>
      <c r="D102" s="7" t="s">
        <v>29</v>
      </c>
      <c r="E102" s="6">
        <v>1</v>
      </c>
      <c r="F102" s="6" t="s">
        <v>107</v>
      </c>
      <c r="G102" s="6" t="s">
        <v>104</v>
      </c>
      <c r="H102" s="6" t="s">
        <v>105</v>
      </c>
    </row>
    <row r="103" ht="15" customHeight="1">
      <c r="A103" s="9">
        <v>45953</v>
      </c>
      <c r="B103" s="13">
        <v>2.948323983169705</v>
      </c>
      <c r="C103" s="7" t="s">
        <v>28</v>
      </c>
      <c r="D103" s="7" t="s">
        <v>29</v>
      </c>
      <c r="E103" s="6">
        <v>1</v>
      </c>
      <c r="F103" s="6" t="s">
        <v>107</v>
      </c>
      <c r="G103" s="6" t="s">
        <v>104</v>
      </c>
      <c r="H103" s="6" t="s">
        <v>105</v>
      </c>
    </row>
    <row r="104" ht="15" customHeight="1">
      <c r="A104" s="9">
        <v>45960</v>
      </c>
      <c r="B104" s="13">
        <v>3.2097378277153559</v>
      </c>
      <c r="C104" s="7" t="s">
        <v>28</v>
      </c>
      <c r="D104" s="7" t="s">
        <v>29</v>
      </c>
      <c r="E104" s="6">
        <v>1</v>
      </c>
      <c r="F104" s="6" t="s">
        <v>107</v>
      </c>
      <c r="G104" s="6" t="s">
        <v>104</v>
      </c>
      <c r="H104" s="6" t="s">
        <v>105</v>
      </c>
    </row>
    <row r="105" ht="15" customHeight="1">
      <c r="A105" s="9">
        <v>45967</v>
      </c>
      <c r="B105" s="13">
        <v>2.4809130645944637</v>
      </c>
      <c r="C105" s="7" t="s">
        <v>28</v>
      </c>
      <c r="D105" s="7" t="s">
        <v>29</v>
      </c>
      <c r="E105" s="6">
        <v>1</v>
      </c>
      <c r="F105" s="6" t="s">
        <v>107</v>
      </c>
      <c r="G105" s="6" t="s">
        <v>104</v>
      </c>
      <c r="H105" s="6" t="s">
        <v>105</v>
      </c>
    </row>
    <row r="106" ht="15" customHeight="1">
      <c r="A106" s="9">
        <v>45974</v>
      </c>
      <c r="B106" s="13">
        <v>3.2229976019184652</v>
      </c>
      <c r="C106" s="7" t="s">
        <v>28</v>
      </c>
      <c r="D106" s="7" t="s">
        <v>29</v>
      </c>
      <c r="E106" s="6">
        <v>1</v>
      </c>
      <c r="F106" s="6" t="s">
        <v>107</v>
      </c>
      <c r="G106" s="6" t="s">
        <v>104</v>
      </c>
      <c r="H106" s="6" t="s">
        <v>105</v>
      </c>
    </row>
    <row r="107" ht="15" customHeight="1">
      <c r="A107" s="9">
        <v>45981</v>
      </c>
      <c r="B107" s="13">
        <v>3.189367710251688</v>
      </c>
      <c r="C107" s="7" t="s">
        <v>28</v>
      </c>
      <c r="D107" s="7" t="s">
        <v>29</v>
      </c>
      <c r="E107" s="6">
        <v>1</v>
      </c>
      <c r="F107" s="6" t="s">
        <v>107</v>
      </c>
      <c r="G107" s="6" t="s">
        <v>104</v>
      </c>
      <c r="H107" s="6" t="s">
        <v>105</v>
      </c>
    </row>
    <row r="108" ht="15" customHeight="1">
      <c r="A108" s="9">
        <v>45988</v>
      </c>
      <c r="B108" s="13">
        <v>3.4492647058823529</v>
      </c>
      <c r="C108" s="7" t="s">
        <v>28</v>
      </c>
      <c r="D108" s="7" t="s">
        <v>29</v>
      </c>
      <c r="E108" s="6">
        <v>1</v>
      </c>
      <c r="F108" s="6" t="s">
        <v>107</v>
      </c>
      <c r="G108" s="6" t="s">
        <v>104</v>
      </c>
      <c r="H108" s="6" t="s">
        <v>105</v>
      </c>
    </row>
    <row r="109" ht="15" customHeight="1">
      <c r="A109" s="9">
        <v>45995</v>
      </c>
      <c r="B109" s="13">
        <v>3.2472006890611542</v>
      </c>
      <c r="C109" s="7" t="s">
        <v>28</v>
      </c>
      <c r="D109" s="7" t="s">
        <v>29</v>
      </c>
      <c r="E109" s="6">
        <v>1</v>
      </c>
      <c r="F109" s="6" t="s">
        <v>107</v>
      </c>
      <c r="G109" s="6" t="s">
        <v>104</v>
      </c>
      <c r="H109" s="6" t="s">
        <v>105</v>
      </c>
    </row>
    <row r="110" ht="15" customHeight="1">
      <c r="A110" s="9">
        <v>46002</v>
      </c>
      <c r="B110" s="13">
        <v>2.9541432019308127</v>
      </c>
      <c r="C110" s="7" t="s">
        <v>28</v>
      </c>
      <c r="D110" s="7" t="s">
        <v>29</v>
      </c>
      <c r="E110" s="6">
        <v>1</v>
      </c>
      <c r="F110" s="6" t="s">
        <v>107</v>
      </c>
      <c r="G110" s="6" t="s">
        <v>104</v>
      </c>
      <c r="H110" s="6" t="s">
        <v>105</v>
      </c>
    </row>
    <row r="111" ht="15" customHeight="1">
      <c r="A111" s="9">
        <v>46009</v>
      </c>
      <c r="B111" s="13">
        <v>3.0016515276630882</v>
      </c>
      <c r="C111" s="7" t="s">
        <v>28</v>
      </c>
      <c r="D111" s="7" t="s">
        <v>29</v>
      </c>
      <c r="E111" s="6">
        <v>1</v>
      </c>
      <c r="F111" s="6" t="s">
        <v>107</v>
      </c>
      <c r="G111" s="6" t="s">
        <v>104</v>
      </c>
      <c r="H111" s="6" t="s">
        <v>105</v>
      </c>
    </row>
    <row r="112" ht="15" customHeight="1">
      <c r="A112" s="9">
        <v>46016</v>
      </c>
      <c r="B112" s="13">
        <v>3.3192771084337349</v>
      </c>
      <c r="C112" s="7" t="s">
        <v>28</v>
      </c>
      <c r="D112" s="7" t="s">
        <v>29</v>
      </c>
      <c r="E112" s="6">
        <v>1</v>
      </c>
      <c r="F112" s="6" t="s">
        <v>107</v>
      </c>
      <c r="G112" s="6" t="s">
        <v>104</v>
      </c>
      <c r="H112" s="6" t="s">
        <v>105</v>
      </c>
    </row>
    <row r="113" ht="15" customHeight="1">
      <c r="A113" s="9">
        <v>46037</v>
      </c>
      <c r="B113" s="13">
        <v>2.7834699453551912</v>
      </c>
      <c r="C113" s="7" t="s">
        <v>28</v>
      </c>
      <c r="D113" s="7" t="s">
        <v>29</v>
      </c>
      <c r="E113" s="6">
        <v>1</v>
      </c>
      <c r="F113" s="6" t="s">
        <v>107</v>
      </c>
      <c r="G113" s="6" t="s">
        <v>104</v>
      </c>
      <c r="H113" s="6" t="s">
        <v>105</v>
      </c>
    </row>
    <row r="114" ht="15" customHeight="1">
      <c r="A114" s="9">
        <v>46044</v>
      </c>
      <c r="B114" s="13">
        <v>2.8310469314079421</v>
      </c>
      <c r="C114" s="7" t="s">
        <v>28</v>
      </c>
      <c r="D114" s="7" t="s">
        <v>29</v>
      </c>
      <c r="E114" s="6">
        <v>1</v>
      </c>
      <c r="F114" s="6" t="s">
        <v>107</v>
      </c>
      <c r="G114" s="6" t="s">
        <v>104</v>
      </c>
      <c r="H114" s="6" t="s">
        <v>105</v>
      </c>
    </row>
    <row r="115" ht="15" customHeight="1">
      <c r="A115" s="9">
        <v>46051</v>
      </c>
      <c r="B115" s="13">
        <v>3.0996835443037973</v>
      </c>
      <c r="C115" s="7" t="s">
        <v>28</v>
      </c>
      <c r="D115" s="7" t="s">
        <v>29</v>
      </c>
      <c r="E115" s="6">
        <v>1</v>
      </c>
      <c r="F115" s="6" t="s">
        <v>107</v>
      </c>
      <c r="G115" s="6" t="s">
        <v>104</v>
      </c>
      <c r="H115" s="6" t="s">
        <v>105</v>
      </c>
    </row>
    <row r="116" ht="15" customHeight="1">
      <c r="A116" s="9">
        <v>46058</v>
      </c>
      <c r="B116" s="13">
        <v>3.6688230584467569</v>
      </c>
      <c r="C116" s="7" t="s">
        <v>28</v>
      </c>
      <c r="D116" s="7" t="s">
        <v>29</v>
      </c>
      <c r="E116" s="6">
        <v>1</v>
      </c>
      <c r="F116" s="6" t="s">
        <v>107</v>
      </c>
      <c r="G116" s="6" t="s">
        <v>104</v>
      </c>
      <c r="H116" s="6" t="s">
        <v>105</v>
      </c>
    </row>
    <row r="117" ht="15" customHeight="1">
      <c r="A117" s="9">
        <v>46065</v>
      </c>
      <c r="B117" s="13">
        <v>3.8831677524429971</v>
      </c>
      <c r="C117" s="7" t="s">
        <v>28</v>
      </c>
      <c r="D117" s="7" t="s">
        <v>29</v>
      </c>
      <c r="E117" s="6">
        <v>1</v>
      </c>
      <c r="F117" s="6" t="s">
        <v>107</v>
      </c>
      <c r="G117" s="6" t="s">
        <v>104</v>
      </c>
      <c r="H117" s="6" t="s">
        <v>105</v>
      </c>
    </row>
    <row r="118" ht="15" customHeight="1">
      <c r="A118" s="9">
        <v>46072</v>
      </c>
      <c r="B118" s="13">
        <v>3.9102680965147454</v>
      </c>
      <c r="C118" s="7" t="s">
        <v>28</v>
      </c>
      <c r="D118" s="7" t="s">
        <v>29</v>
      </c>
      <c r="E118" s="6">
        <v>1</v>
      </c>
      <c r="F118" s="6" t="s">
        <v>107</v>
      </c>
      <c r="G118" s="6" t="s">
        <v>104</v>
      </c>
      <c r="H118" s="6" t="s">
        <v>105</v>
      </c>
    </row>
    <row r="119" ht="15" customHeight="1">
      <c r="A119" s="9">
        <v>46079</v>
      </c>
      <c r="B119" s="13">
        <v>3.9313346228239845</v>
      </c>
      <c r="C119" s="7" t="s">
        <v>28</v>
      </c>
      <c r="D119" s="7" t="s">
        <v>29</v>
      </c>
      <c r="E119" s="6">
        <v>1</v>
      </c>
      <c r="F119" s="6" t="s">
        <v>107</v>
      </c>
      <c r="G119" s="6" t="s">
        <v>104</v>
      </c>
      <c r="H119" s="6" t="s">
        <v>105</v>
      </c>
    </row>
    <row r="120" ht="15" customHeight="1">
      <c r="A120" s="9">
        <v>46086</v>
      </c>
      <c r="B120" s="13">
        <v>4.0031088082901558</v>
      </c>
      <c r="C120" s="7" t="s">
        <v>28</v>
      </c>
      <c r="D120" s="7" t="s">
        <v>29</v>
      </c>
      <c r="E120" s="6">
        <v>1</v>
      </c>
      <c r="F120" s="6" t="s">
        <v>107</v>
      </c>
      <c r="G120" s="6" t="s">
        <v>104</v>
      </c>
      <c r="H120" s="6" t="s">
        <v>105</v>
      </c>
    </row>
    <row r="121" ht="15" customHeight="1">
      <c r="A121" s="9">
        <v>46093</v>
      </c>
      <c r="B121" s="13">
        <v>4.2475355969331874</v>
      </c>
      <c r="C121" s="7" t="s">
        <v>28</v>
      </c>
      <c r="D121" s="7" t="s">
        <v>29</v>
      </c>
      <c r="E121" s="6">
        <v>1</v>
      </c>
      <c r="F121" s="6" t="s">
        <v>107</v>
      </c>
      <c r="G121" s="6" t="s">
        <v>104</v>
      </c>
      <c r="H121" s="6" t="s">
        <v>105</v>
      </c>
    </row>
    <row r="122" ht="15" customHeight="1">
      <c r="A122" s="9">
        <v>46100</v>
      </c>
      <c r="B122" s="13">
        <v>3.732408325074331</v>
      </c>
      <c r="C122" s="7" t="s">
        <v>28</v>
      </c>
      <c r="D122" s="7" t="s">
        <v>29</v>
      </c>
      <c r="E122" s="6">
        <v>1</v>
      </c>
      <c r="F122" s="6" t="s">
        <v>107</v>
      </c>
      <c r="G122" s="6" t="s">
        <v>104</v>
      </c>
      <c r="H122" s="6" t="s">
        <v>105</v>
      </c>
    </row>
    <row r="123" ht="15" customHeight="1">
      <c r="A123" s="9">
        <v>46107</v>
      </c>
      <c r="B123" s="13">
        <v>4.2774755168661587</v>
      </c>
      <c r="C123" s="7" t="s">
        <v>28</v>
      </c>
      <c r="D123" s="7" t="s">
        <v>29</v>
      </c>
      <c r="E123" s="6">
        <v>1</v>
      </c>
      <c r="F123" s="6" t="s">
        <v>107</v>
      </c>
      <c r="G123" s="6" t="s">
        <v>104</v>
      </c>
      <c r="H123" s="6" t="s">
        <v>105</v>
      </c>
    </row>
    <row r="124" ht="15" customHeight="1">
      <c r="A124" s="9">
        <v>46114</v>
      </c>
      <c r="B124" s="13">
        <v>4.2339707536557931</v>
      </c>
      <c r="C124" s="7" t="s">
        <v>28</v>
      </c>
      <c r="D124" s="7" t="s">
        <v>29</v>
      </c>
      <c r="E124" s="6">
        <v>1</v>
      </c>
      <c r="F124" s="6" t="s">
        <v>107</v>
      </c>
      <c r="G124" s="6" t="s">
        <v>104</v>
      </c>
      <c r="H124" s="6" t="s">
        <v>105</v>
      </c>
    </row>
    <row r="125" ht="15" customHeight="1">
      <c r="A125" s="9">
        <v>46121</v>
      </c>
      <c r="B125" s="13">
        <v>3.6800748362956033</v>
      </c>
      <c r="C125" s="7" t="s">
        <v>28</v>
      </c>
      <c r="D125" s="7" t="s">
        <v>29</v>
      </c>
      <c r="E125" s="6">
        <v>1</v>
      </c>
      <c r="F125" s="6" t="s">
        <v>107</v>
      </c>
      <c r="G125" s="6" t="s">
        <v>104</v>
      </c>
      <c r="H125" s="6" t="s">
        <v>105</v>
      </c>
    </row>
    <row r="126" ht="15" customHeight="1">
      <c r="A126" s="9">
        <v>45897</v>
      </c>
      <c r="B126" s="13">
        <v>3.1382140173559439</v>
      </c>
      <c r="C126" s="7" t="s">
        <v>30</v>
      </c>
      <c r="D126" s="7" t="s">
        <v>31</v>
      </c>
      <c r="E126" s="6">
        <v>1</v>
      </c>
      <c r="F126" s="6" t="s">
        <v>108</v>
      </c>
      <c r="G126" s="6" t="s">
        <v>104</v>
      </c>
      <c r="H126" s="6" t="s">
        <v>105</v>
      </c>
    </row>
    <row r="127" ht="15" customHeight="1">
      <c r="A127" s="9">
        <v>45904</v>
      </c>
      <c r="B127" s="13">
        <v>3.2756227628022501</v>
      </c>
      <c r="C127" s="7" t="s">
        <v>30</v>
      </c>
      <c r="D127" s="7" t="s">
        <v>31</v>
      </c>
      <c r="E127" s="6">
        <v>1</v>
      </c>
      <c r="F127" s="6" t="s">
        <v>108</v>
      </c>
      <c r="G127" s="6" t="s">
        <v>104</v>
      </c>
      <c r="H127" s="6" t="s">
        <v>105</v>
      </c>
    </row>
    <row r="128" ht="15" customHeight="1">
      <c r="A128" s="9">
        <v>45911</v>
      </c>
      <c r="B128" s="13">
        <v>2.7303653741366363</v>
      </c>
      <c r="C128" s="7" t="s">
        <v>30</v>
      </c>
      <c r="D128" s="7" t="s">
        <v>31</v>
      </c>
      <c r="E128" s="6">
        <v>1</v>
      </c>
      <c r="F128" s="6" t="s">
        <v>108</v>
      </c>
      <c r="G128" s="6" t="s">
        <v>104</v>
      </c>
      <c r="H128" s="6" t="s">
        <v>105</v>
      </c>
    </row>
    <row r="129" ht="15" customHeight="1">
      <c r="A129" s="9">
        <v>45918</v>
      </c>
      <c r="B129" s="13">
        <v>2.7194532132410436</v>
      </c>
      <c r="C129" s="7" t="s">
        <v>30</v>
      </c>
      <c r="D129" s="7" t="s">
        <v>31</v>
      </c>
      <c r="E129" s="6">
        <v>1</v>
      </c>
      <c r="F129" s="6" t="s">
        <v>108</v>
      </c>
      <c r="G129" s="6" t="s">
        <v>104</v>
      </c>
      <c r="H129" s="6" t="s">
        <v>105</v>
      </c>
    </row>
    <row r="130" ht="15" customHeight="1">
      <c r="A130" s="9">
        <v>45925</v>
      </c>
      <c r="B130" s="13">
        <v>3.2892069591581321</v>
      </c>
      <c r="C130" s="7" t="s">
        <v>30</v>
      </c>
      <c r="D130" s="7" t="s">
        <v>31</v>
      </c>
      <c r="E130" s="6">
        <v>1</v>
      </c>
      <c r="F130" s="6" t="s">
        <v>108</v>
      </c>
      <c r="G130" s="6" t="s">
        <v>104</v>
      </c>
      <c r="H130" s="6" t="s">
        <v>105</v>
      </c>
    </row>
    <row r="131" ht="15" customHeight="1">
      <c r="A131" s="9">
        <v>45932</v>
      </c>
      <c r="B131" s="13">
        <v>2.9816913687881428</v>
      </c>
      <c r="C131" s="7" t="s">
        <v>30</v>
      </c>
      <c r="D131" s="7" t="s">
        <v>31</v>
      </c>
      <c r="E131" s="6">
        <v>1</v>
      </c>
      <c r="F131" s="6" t="s">
        <v>108</v>
      </c>
      <c r="G131" s="6" t="s">
        <v>104</v>
      </c>
      <c r="H131" s="6" t="s">
        <v>105</v>
      </c>
    </row>
    <row r="132" ht="15" customHeight="1">
      <c r="A132" s="9">
        <v>45939</v>
      </c>
      <c r="B132" s="13">
        <v>2.8400416377515612</v>
      </c>
      <c r="C132" s="7" t="s">
        <v>30</v>
      </c>
      <c r="D132" s="7" t="s">
        <v>31</v>
      </c>
      <c r="E132" s="6">
        <v>1</v>
      </c>
      <c r="F132" s="6" t="s">
        <v>108</v>
      </c>
      <c r="G132" s="6" t="s">
        <v>104</v>
      </c>
      <c r="H132" s="6" t="s">
        <v>105</v>
      </c>
    </row>
    <row r="133" ht="15" customHeight="1">
      <c r="A133" s="9">
        <v>45946</v>
      </c>
      <c r="B133" s="13">
        <v>2.7733686836092168</v>
      </c>
      <c r="C133" s="7" t="s">
        <v>30</v>
      </c>
      <c r="D133" s="7" t="s">
        <v>31</v>
      </c>
      <c r="E133" s="6">
        <v>1</v>
      </c>
      <c r="F133" s="6" t="s">
        <v>108</v>
      </c>
      <c r="G133" s="6" t="s">
        <v>104</v>
      </c>
      <c r="H133" s="6" t="s">
        <v>105</v>
      </c>
    </row>
    <row r="134" ht="15" customHeight="1">
      <c r="A134" s="9">
        <v>45953</v>
      </c>
      <c r="B134" s="13">
        <v>2.9374268699463855</v>
      </c>
      <c r="C134" s="7" t="s">
        <v>30</v>
      </c>
      <c r="D134" s="7" t="s">
        <v>31</v>
      </c>
      <c r="E134" s="6">
        <v>1</v>
      </c>
      <c r="F134" s="6" t="s">
        <v>108</v>
      </c>
      <c r="G134" s="6" t="s">
        <v>104</v>
      </c>
      <c r="H134" s="6" t="s">
        <v>105</v>
      </c>
    </row>
    <row r="135" ht="15" customHeight="1">
      <c r="A135" s="9">
        <v>45960</v>
      </c>
      <c r="B135" s="13">
        <v>3.132497220542628</v>
      </c>
      <c r="C135" s="7" t="s">
        <v>30</v>
      </c>
      <c r="D135" s="7" t="s">
        <v>31</v>
      </c>
      <c r="E135" s="6">
        <v>1</v>
      </c>
      <c r="F135" s="6" t="s">
        <v>108</v>
      </c>
      <c r="G135" s="6" t="s">
        <v>104</v>
      </c>
      <c r="H135" s="6" t="s">
        <v>105</v>
      </c>
    </row>
    <row r="136" ht="15" customHeight="1">
      <c r="A136" s="9">
        <v>45967</v>
      </c>
      <c r="B136" s="13">
        <v>3.4090909090909087</v>
      </c>
      <c r="C136" s="7" t="s">
        <v>30</v>
      </c>
      <c r="D136" s="7" t="s">
        <v>31</v>
      </c>
      <c r="E136" s="6">
        <v>1</v>
      </c>
      <c r="F136" s="6" t="s">
        <v>108</v>
      </c>
      <c r="G136" s="6" t="s">
        <v>104</v>
      </c>
      <c r="H136" s="6" t="s">
        <v>105</v>
      </c>
    </row>
    <row r="137" ht="15" customHeight="1">
      <c r="A137" s="9">
        <v>45974</v>
      </c>
      <c r="B137" s="13">
        <v>2.9072490923995784</v>
      </c>
      <c r="C137" s="7" t="s">
        <v>30</v>
      </c>
      <c r="D137" s="7" t="s">
        <v>31</v>
      </c>
      <c r="E137" s="6">
        <v>1</v>
      </c>
      <c r="F137" s="6" t="s">
        <v>108</v>
      </c>
      <c r="G137" s="6" t="s">
        <v>104</v>
      </c>
      <c r="H137" s="6" t="s">
        <v>105</v>
      </c>
    </row>
    <row r="138" ht="15" customHeight="1">
      <c r="A138" s="9">
        <v>45981</v>
      </c>
      <c r="B138" s="13">
        <v>2.837806095484174</v>
      </c>
      <c r="C138" s="7" t="s">
        <v>30</v>
      </c>
      <c r="D138" s="7" t="s">
        <v>31</v>
      </c>
      <c r="E138" s="6">
        <v>1</v>
      </c>
      <c r="F138" s="6" t="s">
        <v>108</v>
      </c>
      <c r="G138" s="6" t="s">
        <v>104</v>
      </c>
      <c r="H138" s="6" t="s">
        <v>105</v>
      </c>
    </row>
    <row r="139" ht="15" customHeight="1">
      <c r="A139" s="9">
        <v>45988</v>
      </c>
      <c r="B139" s="13">
        <v>2.5038417617120867</v>
      </c>
      <c r="C139" s="7" t="s">
        <v>30</v>
      </c>
      <c r="D139" s="7" t="s">
        <v>31</v>
      </c>
      <c r="E139" s="6">
        <v>1</v>
      </c>
      <c r="F139" s="6" t="s">
        <v>108</v>
      </c>
      <c r="G139" s="6" t="s">
        <v>104</v>
      </c>
      <c r="H139" s="6" t="s">
        <v>105</v>
      </c>
    </row>
    <row r="140" ht="15" customHeight="1">
      <c r="A140" s="9">
        <v>45995</v>
      </c>
      <c r="B140" s="13">
        <v>2.2068492367503287</v>
      </c>
      <c r="C140" s="7" t="s">
        <v>30</v>
      </c>
      <c r="D140" s="7" t="s">
        <v>31</v>
      </c>
      <c r="E140" s="6">
        <v>1</v>
      </c>
      <c r="F140" s="6" t="s">
        <v>108</v>
      </c>
      <c r="G140" s="6" t="s">
        <v>104</v>
      </c>
      <c r="H140" s="6" t="s">
        <v>105</v>
      </c>
    </row>
    <row r="141" ht="15" customHeight="1">
      <c r="A141" s="9">
        <v>46002</v>
      </c>
      <c r="B141" s="13">
        <v>2.1318523826585452</v>
      </c>
      <c r="C141" s="7" t="s">
        <v>30</v>
      </c>
      <c r="D141" s="7" t="s">
        <v>31</v>
      </c>
      <c r="E141" s="6">
        <v>1</v>
      </c>
      <c r="F141" s="6" t="s">
        <v>108</v>
      </c>
      <c r="G141" s="6" t="s">
        <v>104</v>
      </c>
      <c r="H141" s="6" t="s">
        <v>105</v>
      </c>
    </row>
    <row r="142" ht="15" customHeight="1">
      <c r="A142" s="9">
        <v>46009</v>
      </c>
      <c r="B142" s="13">
        <v>4.0936533647474596</v>
      </c>
      <c r="C142" s="7" t="s">
        <v>30</v>
      </c>
      <c r="D142" s="7" t="s">
        <v>31</v>
      </c>
      <c r="E142" s="6">
        <v>1</v>
      </c>
      <c r="F142" s="6" t="s">
        <v>108</v>
      </c>
      <c r="G142" s="6" t="s">
        <v>104</v>
      </c>
      <c r="H142" s="6" t="s">
        <v>105</v>
      </c>
    </row>
    <row r="143" ht="15" customHeight="1">
      <c r="A143" s="9">
        <v>46016</v>
      </c>
      <c r="B143" s="13">
        <v>4.1897033782505417</v>
      </c>
      <c r="C143" s="7" t="s">
        <v>30</v>
      </c>
      <c r="D143" s="7" t="s">
        <v>31</v>
      </c>
      <c r="E143" s="6">
        <v>1</v>
      </c>
      <c r="F143" s="6" t="s">
        <v>108</v>
      </c>
      <c r="G143" s="6" t="s">
        <v>104</v>
      </c>
      <c r="H143" s="6" t="s">
        <v>105</v>
      </c>
    </row>
    <row r="144" ht="15" customHeight="1">
      <c r="A144" s="9">
        <v>46037</v>
      </c>
      <c r="B144" s="13">
        <v>4.3614913339558612</v>
      </c>
      <c r="C144" s="7" t="s">
        <v>30</v>
      </c>
      <c r="D144" s="7" t="s">
        <v>31</v>
      </c>
      <c r="E144" s="6">
        <v>1</v>
      </c>
      <c r="F144" s="6" t="s">
        <v>108</v>
      </c>
      <c r="G144" s="6" t="s">
        <v>104</v>
      </c>
      <c r="H144" s="6" t="s">
        <v>105</v>
      </c>
    </row>
    <row r="145" ht="15" customHeight="1">
      <c r="A145" s="9">
        <v>46044</v>
      </c>
      <c r="B145" s="13">
        <v>3.8925067658998649</v>
      </c>
      <c r="C145" s="7" t="s">
        <v>30</v>
      </c>
      <c r="D145" s="7" t="s">
        <v>31</v>
      </c>
      <c r="E145" s="6">
        <v>1</v>
      </c>
      <c r="F145" s="6" t="s">
        <v>108</v>
      </c>
      <c r="G145" s="6" t="s">
        <v>104</v>
      </c>
      <c r="H145" s="6" t="s">
        <v>105</v>
      </c>
    </row>
    <row r="146" ht="15" customHeight="1">
      <c r="A146" s="9">
        <v>46051</v>
      </c>
      <c r="B146" s="13">
        <v>3.5422054521558484</v>
      </c>
      <c r="C146" s="7" t="s">
        <v>30</v>
      </c>
      <c r="D146" s="7" t="s">
        <v>31</v>
      </c>
      <c r="E146" s="6">
        <v>1</v>
      </c>
      <c r="F146" s="6" t="s">
        <v>108</v>
      </c>
      <c r="G146" s="6" t="s">
        <v>104</v>
      </c>
      <c r="H146" s="6" t="s">
        <v>105</v>
      </c>
    </row>
    <row r="147" ht="15" customHeight="1">
      <c r="A147" s="9">
        <v>46058</v>
      </c>
      <c r="B147" s="13">
        <v>3.2970267883426549</v>
      </c>
      <c r="C147" s="7" t="s">
        <v>30</v>
      </c>
      <c r="D147" s="7" t="s">
        <v>31</v>
      </c>
      <c r="E147" s="6">
        <v>1</v>
      </c>
      <c r="F147" s="6" t="s">
        <v>108</v>
      </c>
      <c r="G147" s="6" t="s">
        <v>104</v>
      </c>
      <c r="H147" s="6" t="s">
        <v>105</v>
      </c>
    </row>
    <row r="148" ht="15" customHeight="1">
      <c r="A148" s="9">
        <v>46065</v>
      </c>
      <c r="B148" s="13">
        <v>3.2176443301142834</v>
      </c>
      <c r="C148" s="7" t="s">
        <v>30</v>
      </c>
      <c r="D148" s="7" t="s">
        <v>31</v>
      </c>
      <c r="E148" s="6">
        <v>1</v>
      </c>
      <c r="F148" s="6" t="s">
        <v>108</v>
      </c>
      <c r="G148" s="6" t="s">
        <v>104</v>
      </c>
      <c r="H148" s="6" t="s">
        <v>105</v>
      </c>
    </row>
    <row r="149" ht="15" customHeight="1">
      <c r="A149" s="9">
        <v>46072</v>
      </c>
      <c r="B149" s="13">
        <v>2.8854518065898627</v>
      </c>
      <c r="C149" s="7" t="s">
        <v>30</v>
      </c>
      <c r="D149" s="7" t="s">
        <v>31</v>
      </c>
      <c r="E149" s="6">
        <v>1</v>
      </c>
      <c r="F149" s="6" t="s">
        <v>108</v>
      </c>
      <c r="G149" s="6" t="s">
        <v>104</v>
      </c>
      <c r="H149" s="6" t="s">
        <v>105</v>
      </c>
    </row>
    <row r="150" ht="15" customHeight="1">
      <c r="A150" s="9">
        <v>46079</v>
      </c>
      <c r="B150" s="13">
        <v>2.7814288742845026</v>
      </c>
      <c r="C150" s="7" t="s">
        <v>30</v>
      </c>
      <c r="D150" s="7" t="s">
        <v>31</v>
      </c>
      <c r="E150" s="6">
        <v>1</v>
      </c>
      <c r="F150" s="6" t="s">
        <v>108</v>
      </c>
      <c r="G150" s="6" t="s">
        <v>104</v>
      </c>
      <c r="H150" s="6" t="s">
        <v>105</v>
      </c>
    </row>
    <row r="151" ht="15" customHeight="1">
      <c r="A151" s="9">
        <v>46086</v>
      </c>
      <c r="B151" s="13">
        <v>2.7144914034047596</v>
      </c>
      <c r="C151" s="7" t="s">
        <v>30</v>
      </c>
      <c r="D151" s="7" t="s">
        <v>31</v>
      </c>
      <c r="E151" s="6">
        <v>1</v>
      </c>
      <c r="F151" s="6" t="s">
        <v>108</v>
      </c>
      <c r="G151" s="6" t="s">
        <v>104</v>
      </c>
      <c r="H151" s="6" t="s">
        <v>105</v>
      </c>
    </row>
    <row r="152" ht="15" customHeight="1">
      <c r="A152" s="9">
        <v>46093</v>
      </c>
      <c r="B152" s="13">
        <v>2.5699490698318663</v>
      </c>
      <c r="C152" s="7" t="s">
        <v>30</v>
      </c>
      <c r="D152" s="7" t="s">
        <v>31</v>
      </c>
      <c r="E152" s="6">
        <v>1</v>
      </c>
      <c r="F152" s="6" t="s">
        <v>108</v>
      </c>
      <c r="G152" s="6" t="s">
        <v>104</v>
      </c>
      <c r="H152" s="6" t="s">
        <v>105</v>
      </c>
    </row>
    <row r="153" ht="15" customHeight="1">
      <c r="A153" s="9">
        <v>46100</v>
      </c>
      <c r="B153" s="13">
        <v>2.8979686740366528</v>
      </c>
      <c r="C153" s="7" t="s">
        <v>30</v>
      </c>
      <c r="D153" s="7" t="s">
        <v>31</v>
      </c>
      <c r="E153" s="6">
        <v>1</v>
      </c>
      <c r="F153" s="6" t="s">
        <v>108</v>
      </c>
      <c r="G153" s="6" t="s">
        <v>104</v>
      </c>
      <c r="H153" s="6" t="s">
        <v>105</v>
      </c>
    </row>
    <row r="154" ht="15" customHeight="1">
      <c r="A154" s="9">
        <v>46107</v>
      </c>
      <c r="B154" s="13">
        <v>2.687156232942856</v>
      </c>
      <c r="C154" s="7" t="s">
        <v>30</v>
      </c>
      <c r="D154" s="7" t="s">
        <v>31</v>
      </c>
      <c r="E154" s="6">
        <v>1</v>
      </c>
      <c r="F154" s="6" t="s">
        <v>108</v>
      </c>
      <c r="G154" s="6" t="s">
        <v>104</v>
      </c>
      <c r="H154" s="6" t="s">
        <v>105</v>
      </c>
    </row>
    <row r="155" ht="15" customHeight="1">
      <c r="A155" s="9">
        <v>46114</v>
      </c>
      <c r="B155" s="13">
        <v>2.534100731558198</v>
      </c>
      <c r="C155" s="7" t="s">
        <v>30</v>
      </c>
      <c r="D155" s="7" t="s">
        <v>31</v>
      </c>
      <c r="E155" s="6">
        <v>1</v>
      </c>
      <c r="F155" s="6" t="s">
        <v>108</v>
      </c>
      <c r="G155" s="6" t="s">
        <v>104</v>
      </c>
      <c r="H155" s="6" t="s">
        <v>105</v>
      </c>
    </row>
    <row r="156" ht="15" customHeight="1">
      <c r="A156" s="9">
        <v>46121</v>
      </c>
      <c r="B156" s="13">
        <v>2.9754477974919111</v>
      </c>
      <c r="C156" s="7" t="s">
        <v>30</v>
      </c>
      <c r="D156" s="7" t="s">
        <v>31</v>
      </c>
      <c r="E156" s="6">
        <v>1</v>
      </c>
      <c r="F156" s="6" t="s">
        <v>108</v>
      </c>
      <c r="G156" s="6" t="s">
        <v>104</v>
      </c>
      <c r="H156" s="6" t="s">
        <v>105</v>
      </c>
    </row>
    <row r="157" ht="15" customHeight="1">
      <c r="A157" s="9">
        <v>45897</v>
      </c>
      <c r="B157" s="13">
        <v>20.52401746724891</v>
      </c>
      <c r="C157" s="7" t="s">
        <v>34</v>
      </c>
      <c r="D157" s="7" t="s">
        <v>35</v>
      </c>
      <c r="E157" s="6">
        <v>3</v>
      </c>
      <c r="F157" s="6" t="s">
        <v>108</v>
      </c>
      <c r="G157" s="6" t="s">
        <v>104</v>
      </c>
      <c r="H157" s="6" t="s">
        <v>105</v>
      </c>
      <c r="J157" s="7" t="s">
        <v>90</v>
      </c>
    </row>
    <row r="158" ht="15" customHeight="1">
      <c r="A158" s="9">
        <v>45904</v>
      </c>
      <c r="B158" s="13">
        <v>22.194513715710723</v>
      </c>
      <c r="C158" s="7" t="s">
        <v>34</v>
      </c>
      <c r="D158" s="7" t="s">
        <v>35</v>
      </c>
      <c r="E158" s="6">
        <v>3</v>
      </c>
      <c r="F158" s="6" t="s">
        <v>108</v>
      </c>
      <c r="G158" s="6" t="s">
        <v>104</v>
      </c>
      <c r="H158" s="6" t="s">
        <v>105</v>
      </c>
      <c r="I158" s="7"/>
      <c r="J158" s="7" t="s">
        <v>90</v>
      </c>
    </row>
    <row r="159" ht="15" customHeight="1">
      <c r="A159" s="9">
        <v>45911</v>
      </c>
      <c r="B159" s="13">
        <v>22.866476112699061</v>
      </c>
      <c r="C159" s="7" t="s">
        <v>34</v>
      </c>
      <c r="D159" s="7" t="s">
        <v>35</v>
      </c>
      <c r="E159" s="6">
        <v>3</v>
      </c>
      <c r="F159" s="6" t="s">
        <v>108</v>
      </c>
      <c r="G159" s="6" t="s">
        <v>104</v>
      </c>
      <c r="H159" s="6" t="s">
        <v>105</v>
      </c>
      <c r="I159" s="7"/>
      <c r="J159" s="7" t="s">
        <v>90</v>
      </c>
    </row>
    <row r="160" ht="15" customHeight="1">
      <c r="A160" s="9">
        <v>45918</v>
      </c>
      <c r="B160" s="13">
        <v>19.373454245671887</v>
      </c>
      <c r="C160" s="7" t="s">
        <v>34</v>
      </c>
      <c r="D160" s="7" t="s">
        <v>35</v>
      </c>
      <c r="E160" s="6">
        <v>3</v>
      </c>
      <c r="F160" s="6" t="s">
        <v>108</v>
      </c>
      <c r="G160" s="6" t="s">
        <v>104</v>
      </c>
      <c r="H160" s="6" t="s">
        <v>105</v>
      </c>
      <c r="I160" s="7"/>
      <c r="J160" s="7" t="s">
        <v>90</v>
      </c>
    </row>
    <row r="161" ht="15" customHeight="1">
      <c r="A161" s="9">
        <v>45925</v>
      </c>
      <c r="B161" s="13">
        <v>20.268620268620268</v>
      </c>
      <c r="C161" s="7" t="s">
        <v>34</v>
      </c>
      <c r="D161" s="7" t="s">
        <v>35</v>
      </c>
      <c r="E161" s="6">
        <v>3</v>
      </c>
      <c r="F161" s="6" t="s">
        <v>108</v>
      </c>
      <c r="G161" s="6" t="s">
        <v>104</v>
      </c>
      <c r="H161" s="6" t="s">
        <v>105</v>
      </c>
      <c r="I161" s="7"/>
      <c r="J161" s="7" t="s">
        <v>90</v>
      </c>
    </row>
    <row r="162" ht="15" customHeight="1">
      <c r="A162" s="9">
        <v>45932</v>
      </c>
      <c r="B162" s="13">
        <v>20.718232044198896</v>
      </c>
      <c r="C162" s="7" t="s">
        <v>34</v>
      </c>
      <c r="D162" s="7" t="s">
        <v>35</v>
      </c>
      <c r="E162" s="6">
        <v>3</v>
      </c>
      <c r="F162" s="6" t="s">
        <v>108</v>
      </c>
      <c r="G162" s="6" t="s">
        <v>104</v>
      </c>
      <c r="H162" s="6" t="s">
        <v>105</v>
      </c>
      <c r="I162" s="7"/>
      <c r="J162" s="7" t="s">
        <v>90</v>
      </c>
    </row>
    <row r="163" ht="15" customHeight="1">
      <c r="A163" s="9">
        <v>45939</v>
      </c>
      <c r="B163" s="13">
        <v>18.128654970760234</v>
      </c>
      <c r="C163" s="7" t="s">
        <v>34</v>
      </c>
      <c r="D163" s="7" t="s">
        <v>35</v>
      </c>
      <c r="E163" s="6">
        <v>3</v>
      </c>
      <c r="F163" s="6" t="s">
        <v>108</v>
      </c>
      <c r="G163" s="6" t="s">
        <v>104</v>
      </c>
      <c r="H163" s="6" t="s">
        <v>105</v>
      </c>
      <c r="I163" s="7"/>
      <c r="J163" s="7" t="s">
        <v>90</v>
      </c>
    </row>
    <row r="164" ht="15" customHeight="1">
      <c r="A164" s="9">
        <v>45946</v>
      </c>
      <c r="B164" s="13">
        <v>19.519752130131682</v>
      </c>
      <c r="C164" s="7" t="s">
        <v>34</v>
      </c>
      <c r="D164" s="7" t="s">
        <v>35</v>
      </c>
      <c r="E164" s="6">
        <v>3</v>
      </c>
      <c r="F164" s="6" t="s">
        <v>108</v>
      </c>
      <c r="G164" s="6" t="s">
        <v>104</v>
      </c>
      <c r="H164" s="6" t="s">
        <v>105</v>
      </c>
      <c r="I164" s="7"/>
      <c r="J164" s="7" t="s">
        <v>90</v>
      </c>
    </row>
    <row r="165" ht="15" customHeight="1">
      <c r="A165" s="9">
        <v>45953</v>
      </c>
      <c r="B165" s="13">
        <v>19.357462383082556</v>
      </c>
      <c r="C165" s="7" t="s">
        <v>34</v>
      </c>
      <c r="D165" s="7" t="s">
        <v>35</v>
      </c>
      <c r="E165" s="6">
        <v>3</v>
      </c>
      <c r="F165" s="6" t="s">
        <v>108</v>
      </c>
      <c r="G165" s="6" t="s">
        <v>104</v>
      </c>
      <c r="H165" s="6" t="s">
        <v>105</v>
      </c>
      <c r="I165" s="7"/>
      <c r="J165" s="7" t="s">
        <v>90</v>
      </c>
    </row>
    <row r="166" ht="15" customHeight="1">
      <c r="A166" s="9">
        <v>45960</v>
      </c>
      <c r="B166" s="13">
        <v>20.065654493229381</v>
      </c>
      <c r="C166" s="7" t="s">
        <v>34</v>
      </c>
      <c r="D166" s="7" t="s">
        <v>35</v>
      </c>
      <c r="E166" s="6">
        <v>3</v>
      </c>
      <c r="F166" s="6" t="s">
        <v>108</v>
      </c>
      <c r="G166" s="6" t="s">
        <v>104</v>
      </c>
      <c r="H166" s="6" t="s">
        <v>105</v>
      </c>
      <c r="I166" s="7"/>
      <c r="J166" s="7" t="s">
        <v>90</v>
      </c>
    </row>
    <row r="167" ht="15" customHeight="1">
      <c r="A167" s="9">
        <v>45967</v>
      </c>
      <c r="B167" s="13">
        <v>20.471333098839253</v>
      </c>
      <c r="C167" s="7" t="s">
        <v>34</v>
      </c>
      <c r="D167" s="7" t="s">
        <v>35</v>
      </c>
      <c r="E167" s="6">
        <v>3</v>
      </c>
      <c r="F167" s="6" t="s">
        <v>108</v>
      </c>
      <c r="G167" s="6" t="s">
        <v>104</v>
      </c>
      <c r="H167" s="6" t="s">
        <v>105</v>
      </c>
      <c r="I167" s="7"/>
      <c r="J167" s="7" t="s">
        <v>90</v>
      </c>
    </row>
    <row r="168" ht="15" customHeight="1">
      <c r="A168" s="9">
        <v>45974</v>
      </c>
      <c r="B168" s="13">
        <v>21.08057464084947</v>
      </c>
      <c r="C168" s="7" t="s">
        <v>34</v>
      </c>
      <c r="D168" s="7" t="s">
        <v>35</v>
      </c>
      <c r="E168" s="6">
        <v>3</v>
      </c>
      <c r="F168" s="6" t="s">
        <v>108</v>
      </c>
      <c r="G168" s="6" t="s">
        <v>104</v>
      </c>
      <c r="H168" s="6" t="s">
        <v>105</v>
      </c>
      <c r="I168" s="7"/>
      <c r="J168" s="7" t="s">
        <v>90</v>
      </c>
    </row>
    <row r="169" ht="15" customHeight="1">
      <c r="A169" s="9">
        <v>45981</v>
      </c>
      <c r="B169" s="13">
        <v>20.75530586766542</v>
      </c>
      <c r="C169" s="7" t="s">
        <v>34</v>
      </c>
      <c r="D169" s="7" t="s">
        <v>35</v>
      </c>
      <c r="E169" s="6">
        <v>3</v>
      </c>
      <c r="F169" s="6" t="s">
        <v>108</v>
      </c>
      <c r="G169" s="6" t="s">
        <v>104</v>
      </c>
      <c r="H169" s="6" t="s">
        <v>105</v>
      </c>
      <c r="I169" s="7"/>
      <c r="J169" s="7" t="s">
        <v>90</v>
      </c>
    </row>
    <row r="170" ht="15" customHeight="1">
      <c r="A170" s="9">
        <v>45988</v>
      </c>
      <c r="B170" s="13">
        <v>19.808108944599194</v>
      </c>
      <c r="C170" s="7" t="s">
        <v>34</v>
      </c>
      <c r="D170" s="7" t="s">
        <v>35</v>
      </c>
      <c r="E170" s="6">
        <v>3</v>
      </c>
      <c r="F170" s="6" t="s">
        <v>108</v>
      </c>
      <c r="G170" s="6" t="s">
        <v>104</v>
      </c>
      <c r="H170" s="6" t="s">
        <v>105</v>
      </c>
      <c r="I170" s="7"/>
      <c r="J170" s="7" t="s">
        <v>90</v>
      </c>
    </row>
    <row r="171" ht="15" customHeight="1">
      <c r="A171" s="9">
        <v>45995</v>
      </c>
      <c r="B171" s="13">
        <v>20.744356314826113</v>
      </c>
      <c r="C171" s="7" t="s">
        <v>34</v>
      </c>
      <c r="D171" s="7" t="s">
        <v>35</v>
      </c>
      <c r="E171" s="6">
        <v>3</v>
      </c>
      <c r="F171" s="6" t="s">
        <v>108</v>
      </c>
      <c r="G171" s="6" t="s">
        <v>104</v>
      </c>
      <c r="H171" s="6" t="s">
        <v>105</v>
      </c>
      <c r="I171" s="7"/>
      <c r="J171" s="7" t="s">
        <v>90</v>
      </c>
    </row>
    <row r="172" ht="15" customHeight="1">
      <c r="A172" s="9">
        <v>46002</v>
      </c>
      <c r="B172" s="13">
        <v>22.072985301571212</v>
      </c>
      <c r="C172" s="7" t="s">
        <v>34</v>
      </c>
      <c r="D172" s="7" t="s">
        <v>35</v>
      </c>
      <c r="E172" s="6">
        <v>3</v>
      </c>
      <c r="F172" s="6" t="s">
        <v>108</v>
      </c>
      <c r="G172" s="6" t="s">
        <v>104</v>
      </c>
      <c r="H172" s="6" t="s">
        <v>105</v>
      </c>
      <c r="I172" s="7"/>
      <c r="J172" s="7" t="s">
        <v>90</v>
      </c>
    </row>
    <row r="173" ht="15" customHeight="1">
      <c r="A173" s="9">
        <v>46009</v>
      </c>
      <c r="B173" s="13">
        <v>25.235032162295894</v>
      </c>
      <c r="C173" s="7" t="s">
        <v>34</v>
      </c>
      <c r="D173" s="7" t="s">
        <v>35</v>
      </c>
      <c r="E173" s="6">
        <v>3</v>
      </c>
      <c r="F173" s="6" t="s">
        <v>108</v>
      </c>
      <c r="G173" s="6" t="s">
        <v>104</v>
      </c>
      <c r="H173" s="6" t="s">
        <v>105</v>
      </c>
      <c r="I173" s="7"/>
      <c r="J173" s="7" t="s">
        <v>90</v>
      </c>
    </row>
    <row r="174" ht="15" customHeight="1">
      <c r="A174" s="9">
        <v>46016</v>
      </c>
      <c r="B174" s="13">
        <v>24.383983572895275</v>
      </c>
      <c r="C174" s="7" t="s">
        <v>34</v>
      </c>
      <c r="D174" s="7" t="s">
        <v>35</v>
      </c>
      <c r="E174" s="6">
        <v>3</v>
      </c>
      <c r="F174" s="6" t="s">
        <v>108</v>
      </c>
      <c r="G174" s="6" t="s">
        <v>104</v>
      </c>
      <c r="H174" s="6" t="s">
        <v>105</v>
      </c>
      <c r="I174" s="7"/>
      <c r="J174" s="7" t="s">
        <v>90</v>
      </c>
    </row>
    <row r="175" ht="15" customHeight="1">
      <c r="A175" s="9">
        <v>46037</v>
      </c>
      <c r="B175" s="13">
        <v>25.442604226156483</v>
      </c>
      <c r="C175" s="7" t="s">
        <v>34</v>
      </c>
      <c r="D175" s="7" t="s">
        <v>35</v>
      </c>
      <c r="E175" s="6">
        <v>3</v>
      </c>
      <c r="F175" s="6" t="s">
        <v>108</v>
      </c>
      <c r="G175" s="6" t="s">
        <v>104</v>
      </c>
      <c r="H175" s="6" t="s">
        <v>105</v>
      </c>
      <c r="I175" s="7"/>
      <c r="J175" s="7" t="s">
        <v>90</v>
      </c>
    </row>
    <row r="176" ht="15" customHeight="1">
      <c r="A176" s="9">
        <v>46044</v>
      </c>
      <c r="B176" s="13">
        <v>23.200428150923198</v>
      </c>
      <c r="C176" s="7" t="s">
        <v>34</v>
      </c>
      <c r="D176" s="7" t="s">
        <v>35</v>
      </c>
      <c r="E176" s="6">
        <v>3</v>
      </c>
      <c r="F176" s="6" t="s">
        <v>108</v>
      </c>
      <c r="G176" s="6" t="s">
        <v>104</v>
      </c>
      <c r="H176" s="6" t="s">
        <v>105</v>
      </c>
      <c r="I176" s="7"/>
      <c r="J176" s="7" t="s">
        <v>90</v>
      </c>
    </row>
    <row r="177" ht="15" customHeight="1">
      <c r="A177" s="9">
        <v>46051</v>
      </c>
      <c r="B177" s="13">
        <v>21.669980119284293</v>
      </c>
      <c r="C177" s="7" t="s">
        <v>34</v>
      </c>
      <c r="D177" s="7" t="s">
        <v>35</v>
      </c>
      <c r="E177" s="6">
        <v>3</v>
      </c>
      <c r="F177" s="6" t="s">
        <v>108</v>
      </c>
      <c r="G177" s="6" t="s">
        <v>104</v>
      </c>
      <c r="H177" s="6" t="s">
        <v>105</v>
      </c>
      <c r="I177" s="7"/>
      <c r="J177" s="7" t="s">
        <v>90</v>
      </c>
    </row>
    <row r="178" ht="15" customHeight="1">
      <c r="A178" s="9">
        <v>46058</v>
      </c>
      <c r="B178" s="13">
        <v>17.816813048933501</v>
      </c>
      <c r="C178" s="7" t="s">
        <v>34</v>
      </c>
      <c r="D178" s="7" t="s">
        <v>35</v>
      </c>
      <c r="E178" s="6">
        <v>3</v>
      </c>
      <c r="F178" s="6" t="s">
        <v>108</v>
      </c>
      <c r="G178" s="6" t="s">
        <v>104</v>
      </c>
      <c r="H178" s="6" t="s">
        <v>105</v>
      </c>
      <c r="I178" s="7"/>
      <c r="J178" s="7" t="s">
        <v>90</v>
      </c>
    </row>
    <row r="179" ht="15" customHeight="1">
      <c r="A179" s="9">
        <v>46065</v>
      </c>
      <c r="B179" s="13">
        <v>16.821724918280108</v>
      </c>
      <c r="C179" s="7" t="s">
        <v>34</v>
      </c>
      <c r="D179" s="7" t="s">
        <v>35</v>
      </c>
      <c r="E179" s="6">
        <v>3</v>
      </c>
      <c r="F179" s="6" t="s">
        <v>108</v>
      </c>
      <c r="G179" s="6" t="s">
        <v>104</v>
      </c>
      <c r="H179" s="6" t="s">
        <v>105</v>
      </c>
      <c r="I179" s="7"/>
      <c r="J179" s="7" t="s">
        <v>90</v>
      </c>
    </row>
    <row r="180" ht="15" customHeight="1">
      <c r="A180" s="9">
        <v>46072</v>
      </c>
      <c r="B180" s="13">
        <v>16.290726817042607</v>
      </c>
      <c r="C180" s="7" t="s">
        <v>34</v>
      </c>
      <c r="D180" s="7" t="s">
        <v>35</v>
      </c>
      <c r="E180" s="6">
        <v>3</v>
      </c>
      <c r="F180" s="6" t="s">
        <v>108</v>
      </c>
      <c r="G180" s="6" t="s">
        <v>104</v>
      </c>
      <c r="H180" s="6" t="s">
        <v>105</v>
      </c>
      <c r="I180" s="7"/>
      <c r="J180" s="7" t="s">
        <v>90</v>
      </c>
    </row>
    <row r="181" ht="15" customHeight="1">
      <c r="A181" s="9">
        <v>46079</v>
      </c>
      <c r="B181" s="13">
        <v>15.588578088578089</v>
      </c>
      <c r="C181" s="7" t="s">
        <v>34</v>
      </c>
      <c r="D181" s="7" t="s">
        <v>35</v>
      </c>
      <c r="E181" s="6">
        <v>3</v>
      </c>
      <c r="F181" s="6" t="s">
        <v>108</v>
      </c>
      <c r="G181" s="6" t="s">
        <v>104</v>
      </c>
      <c r="H181" s="6" t="s">
        <v>105</v>
      </c>
      <c r="I181" s="7"/>
      <c r="J181" s="7" t="s">
        <v>90</v>
      </c>
    </row>
    <row r="182" ht="15" customHeight="1">
      <c r="A182" s="9">
        <v>46086</v>
      </c>
      <c r="B182" s="13">
        <v>16.594332397242788</v>
      </c>
      <c r="C182" s="7" t="s">
        <v>34</v>
      </c>
      <c r="D182" s="7" t="s">
        <v>35</v>
      </c>
      <c r="E182" s="6">
        <v>3</v>
      </c>
      <c r="F182" s="6" t="s">
        <v>108</v>
      </c>
      <c r="G182" s="6" t="s">
        <v>104</v>
      </c>
      <c r="H182" s="6" t="s">
        <v>105</v>
      </c>
      <c r="I182" s="7"/>
      <c r="J182" s="7" t="s">
        <v>90</v>
      </c>
    </row>
    <row r="183" ht="15" customHeight="1">
      <c r="A183" s="9">
        <v>46093</v>
      </c>
      <c r="B183" s="13">
        <v>15.408986175115208</v>
      </c>
      <c r="C183" s="7" t="s">
        <v>34</v>
      </c>
      <c r="D183" s="7" t="s">
        <v>35</v>
      </c>
      <c r="E183" s="6">
        <v>3</v>
      </c>
      <c r="F183" s="6" t="s">
        <v>108</v>
      </c>
      <c r="G183" s="6" t="s">
        <v>104</v>
      </c>
      <c r="H183" s="6" t="s">
        <v>105</v>
      </c>
      <c r="I183" s="7"/>
      <c r="J183" s="7" t="s">
        <v>90</v>
      </c>
    </row>
    <row r="184" ht="15" customHeight="1">
      <c r="A184" s="9">
        <v>46100</v>
      </c>
      <c r="B184" s="13">
        <v>18.10850439882698</v>
      </c>
      <c r="C184" s="7" t="s">
        <v>34</v>
      </c>
      <c r="D184" s="7" t="s">
        <v>35</v>
      </c>
      <c r="E184" s="6">
        <v>3</v>
      </c>
      <c r="F184" s="6" t="s">
        <v>108</v>
      </c>
      <c r="G184" s="6" t="s">
        <v>104</v>
      </c>
      <c r="H184" s="6" t="s">
        <v>105</v>
      </c>
      <c r="I184" s="7"/>
      <c r="J184" s="7" t="s">
        <v>90</v>
      </c>
    </row>
    <row r="185" ht="15" customHeight="1">
      <c r="A185" s="9">
        <v>46107</v>
      </c>
      <c r="B185" s="13">
        <v>16.980670418399804</v>
      </c>
      <c r="C185" s="7" t="s">
        <v>34</v>
      </c>
      <c r="D185" s="7" t="s">
        <v>35</v>
      </c>
      <c r="E185" s="6">
        <v>3</v>
      </c>
      <c r="F185" s="6" t="s">
        <v>108</v>
      </c>
      <c r="G185" s="6" t="s">
        <v>104</v>
      </c>
      <c r="H185" s="6" t="s">
        <v>105</v>
      </c>
      <c r="I185" s="7"/>
      <c r="J185" s="7" t="s">
        <v>90</v>
      </c>
    </row>
    <row r="186" ht="15" customHeight="1">
      <c r="A186" s="9">
        <v>46114</v>
      </c>
      <c r="B186" s="13">
        <v>16.165598817151306</v>
      </c>
      <c r="C186" s="7" t="s">
        <v>34</v>
      </c>
      <c r="D186" s="7" t="s">
        <v>35</v>
      </c>
      <c r="E186" s="6">
        <v>3</v>
      </c>
      <c r="F186" s="6" t="s">
        <v>108</v>
      </c>
      <c r="G186" s="6" t="s">
        <v>104</v>
      </c>
      <c r="H186" s="6" t="s">
        <v>105</v>
      </c>
      <c r="I186" s="7"/>
      <c r="J186" s="7" t="s">
        <v>90</v>
      </c>
    </row>
    <row r="187" ht="15" customHeight="1">
      <c r="A187" s="9">
        <v>46121</v>
      </c>
      <c r="B187" s="13">
        <v>15.484034465281299</v>
      </c>
      <c r="C187" s="7" t="s">
        <v>34</v>
      </c>
      <c r="D187" s="7" t="s">
        <v>35</v>
      </c>
      <c r="E187" s="6">
        <v>3</v>
      </c>
      <c r="F187" s="6" t="s">
        <v>108</v>
      </c>
      <c r="G187" s="6" t="s">
        <v>104</v>
      </c>
      <c r="H187" s="6" t="s">
        <v>105</v>
      </c>
      <c r="I187" s="7"/>
      <c r="J187" s="7" t="s">
        <v>90</v>
      </c>
    </row>
    <row r="188" ht="15" customHeight="1">
      <c r="A188" s="9">
        <v>45897</v>
      </c>
      <c r="B188" s="7">
        <v>223</v>
      </c>
      <c r="C188" s="7" t="s">
        <v>84</v>
      </c>
      <c r="D188" t="s">
        <v>85</v>
      </c>
      <c r="E188" s="6">
        <v>3</v>
      </c>
      <c r="F188" s="6" t="s">
        <v>106</v>
      </c>
      <c r="G188" s="6" t="s">
        <v>104</v>
      </c>
      <c r="H188" s="6" t="s">
        <v>105</v>
      </c>
      <c r="I188" s="7"/>
      <c r="J188" s="7" t="s">
        <v>90</v>
      </c>
    </row>
    <row r="189" ht="15" customHeight="1">
      <c r="A189" s="9">
        <v>45904</v>
      </c>
      <c r="B189" s="7">
        <v>279</v>
      </c>
      <c r="C189" s="7" t="s">
        <v>84</v>
      </c>
      <c r="D189" t="s">
        <v>85</v>
      </c>
      <c r="E189" s="6">
        <v>3</v>
      </c>
      <c r="F189" s="6" t="s">
        <v>106</v>
      </c>
      <c r="G189" s="6" t="s">
        <v>104</v>
      </c>
      <c r="H189" s="6" t="s">
        <v>105</v>
      </c>
      <c r="I189" s="7"/>
      <c r="J189" s="7" t="s">
        <v>90</v>
      </c>
    </row>
    <row r="190" ht="15" customHeight="1">
      <c r="A190" s="9">
        <v>45911</v>
      </c>
      <c r="B190" s="7">
        <v>183</v>
      </c>
      <c r="C190" s="7" t="s">
        <v>84</v>
      </c>
      <c r="D190" t="s">
        <v>85</v>
      </c>
      <c r="E190" s="6">
        <v>3</v>
      </c>
      <c r="F190" s="6" t="s">
        <v>106</v>
      </c>
      <c r="G190" s="6" t="s">
        <v>104</v>
      </c>
      <c r="H190" s="6" t="s">
        <v>105</v>
      </c>
      <c r="I190" s="7"/>
      <c r="J190" s="7" t="s">
        <v>90</v>
      </c>
    </row>
    <row r="191" ht="15" customHeight="1">
      <c r="A191" s="9">
        <v>45918</v>
      </c>
      <c r="B191" s="7">
        <v>324</v>
      </c>
      <c r="C191" s="7" t="s">
        <v>84</v>
      </c>
      <c r="D191" t="s">
        <v>85</v>
      </c>
      <c r="E191" s="6">
        <v>3</v>
      </c>
      <c r="F191" s="6" t="s">
        <v>106</v>
      </c>
      <c r="G191" s="6" t="s">
        <v>104</v>
      </c>
      <c r="H191" s="6" t="s">
        <v>105</v>
      </c>
      <c r="I191" s="7"/>
      <c r="J191" s="7" t="s">
        <v>90</v>
      </c>
    </row>
    <row r="192" ht="15" customHeight="1">
      <c r="A192" s="9">
        <v>45925</v>
      </c>
      <c r="B192" s="7">
        <v>236</v>
      </c>
      <c r="C192" s="7" t="s">
        <v>84</v>
      </c>
      <c r="D192" t="s">
        <v>85</v>
      </c>
      <c r="E192" s="6">
        <v>3</v>
      </c>
      <c r="F192" s="6" t="s">
        <v>106</v>
      </c>
      <c r="G192" s="6" t="s">
        <v>104</v>
      </c>
      <c r="H192" s="6" t="s">
        <v>105</v>
      </c>
      <c r="I192" s="7"/>
      <c r="J192" s="7" t="s">
        <v>90</v>
      </c>
    </row>
    <row r="193" ht="15" customHeight="1">
      <c r="A193" s="9">
        <v>45932</v>
      </c>
      <c r="B193" s="7">
        <v>295</v>
      </c>
      <c r="C193" s="7" t="s">
        <v>84</v>
      </c>
      <c r="D193" t="s">
        <v>85</v>
      </c>
      <c r="E193" s="6">
        <v>3</v>
      </c>
      <c r="F193" s="6" t="s">
        <v>106</v>
      </c>
      <c r="G193" s="6" t="s">
        <v>104</v>
      </c>
      <c r="H193" s="6" t="s">
        <v>105</v>
      </c>
      <c r="I193" s="7"/>
      <c r="J193" s="7" t="s">
        <v>90</v>
      </c>
    </row>
    <row r="194" ht="15" customHeight="1">
      <c r="A194" s="9">
        <v>45939</v>
      </c>
      <c r="B194" s="7">
        <v>172</v>
      </c>
      <c r="C194" s="7" t="s">
        <v>84</v>
      </c>
      <c r="D194" t="s">
        <v>85</v>
      </c>
      <c r="E194" s="6">
        <v>3</v>
      </c>
      <c r="F194" s="6" t="s">
        <v>106</v>
      </c>
      <c r="G194" s="6" t="s">
        <v>104</v>
      </c>
      <c r="H194" s="6" t="s">
        <v>105</v>
      </c>
      <c r="I194" s="7"/>
      <c r="J194" s="7" t="s">
        <v>90</v>
      </c>
    </row>
    <row r="195" ht="15" customHeight="1">
      <c r="A195" s="9">
        <v>45946</v>
      </c>
      <c r="B195" s="7">
        <v>245</v>
      </c>
      <c r="C195" s="7" t="s">
        <v>84</v>
      </c>
      <c r="D195" t="s">
        <v>85</v>
      </c>
      <c r="E195" s="6">
        <v>3</v>
      </c>
      <c r="F195" s="6" t="s">
        <v>106</v>
      </c>
      <c r="G195" s="6" t="s">
        <v>104</v>
      </c>
      <c r="H195" s="6" t="s">
        <v>105</v>
      </c>
      <c r="I195" s="7"/>
      <c r="J195" s="7" t="s">
        <v>90</v>
      </c>
    </row>
    <row r="196" ht="15" customHeight="1">
      <c r="A196" s="9">
        <v>45953</v>
      </c>
      <c r="B196" s="7">
        <v>229</v>
      </c>
      <c r="C196" s="7" t="s">
        <v>84</v>
      </c>
      <c r="D196" t="s">
        <v>85</v>
      </c>
      <c r="E196" s="6">
        <v>3</v>
      </c>
      <c r="F196" s="6" t="s">
        <v>106</v>
      </c>
      <c r="G196" s="6" t="s">
        <v>104</v>
      </c>
      <c r="H196" s="6" t="s">
        <v>105</v>
      </c>
      <c r="I196" s="7"/>
      <c r="J196" s="7" t="s">
        <v>90</v>
      </c>
    </row>
    <row r="197" ht="15" customHeight="1">
      <c r="A197" s="9">
        <v>45960</v>
      </c>
      <c r="B197" s="7">
        <v>293</v>
      </c>
      <c r="C197" s="7" t="s">
        <v>84</v>
      </c>
      <c r="D197" t="s">
        <v>85</v>
      </c>
      <c r="E197" s="6">
        <v>3</v>
      </c>
      <c r="F197" s="6" t="s">
        <v>106</v>
      </c>
      <c r="G197" s="6" t="s">
        <v>104</v>
      </c>
      <c r="H197" s="6" t="s">
        <v>105</v>
      </c>
      <c r="I197" s="7"/>
      <c r="J197" s="7" t="s">
        <v>90</v>
      </c>
    </row>
    <row r="198" ht="15" customHeight="1">
      <c r="A198" s="9">
        <v>45967</v>
      </c>
      <c r="B198" s="7">
        <v>176</v>
      </c>
      <c r="C198" s="7" t="s">
        <v>84</v>
      </c>
      <c r="D198" t="s">
        <v>85</v>
      </c>
      <c r="E198" s="6">
        <v>3</v>
      </c>
      <c r="F198" s="6" t="s">
        <v>106</v>
      </c>
      <c r="G198" s="6" t="s">
        <v>104</v>
      </c>
      <c r="H198" s="6" t="s">
        <v>105</v>
      </c>
      <c r="I198" s="7"/>
      <c r="J198" s="7" t="s">
        <v>90</v>
      </c>
    </row>
    <row r="199" ht="15" customHeight="1">
      <c r="A199" s="9">
        <v>45974</v>
      </c>
      <c r="B199" s="7">
        <v>258</v>
      </c>
      <c r="C199" s="7" t="s">
        <v>84</v>
      </c>
      <c r="D199" t="s">
        <v>85</v>
      </c>
      <c r="E199" s="6">
        <v>3</v>
      </c>
      <c r="F199" s="6" t="s">
        <v>106</v>
      </c>
      <c r="G199" s="6" t="s">
        <v>104</v>
      </c>
      <c r="H199" s="6" t="s">
        <v>105</v>
      </c>
      <c r="I199" s="7"/>
      <c r="J199" s="7" t="s">
        <v>90</v>
      </c>
    </row>
    <row r="200" ht="15" customHeight="1">
      <c r="A200" s="9">
        <v>45981</v>
      </c>
      <c r="B200" s="7">
        <v>257</v>
      </c>
      <c r="C200" s="7" t="s">
        <v>84</v>
      </c>
      <c r="D200" t="s">
        <v>85</v>
      </c>
      <c r="E200" s="6">
        <v>3</v>
      </c>
      <c r="F200" s="6" t="s">
        <v>106</v>
      </c>
      <c r="G200" s="6" t="s">
        <v>104</v>
      </c>
      <c r="H200" s="6" t="s">
        <v>105</v>
      </c>
      <c r="I200" s="7"/>
      <c r="J200" s="7" t="s">
        <v>90</v>
      </c>
    </row>
    <row r="201" ht="15" customHeight="1">
      <c r="A201" s="9">
        <v>45988</v>
      </c>
      <c r="B201" s="7">
        <v>296</v>
      </c>
      <c r="C201" s="7" t="s">
        <v>84</v>
      </c>
      <c r="D201" t="s">
        <v>85</v>
      </c>
      <c r="E201" s="6">
        <v>3</v>
      </c>
      <c r="F201" s="6" t="s">
        <v>106</v>
      </c>
      <c r="G201" s="6" t="s">
        <v>104</v>
      </c>
      <c r="H201" s="6" t="s">
        <v>105</v>
      </c>
      <c r="I201" s="7"/>
      <c r="J201" s="7" t="s">
        <v>90</v>
      </c>
    </row>
    <row r="202" ht="15" customHeight="1">
      <c r="A202" s="9">
        <v>45995</v>
      </c>
      <c r="B202" s="7">
        <v>261</v>
      </c>
      <c r="C202" s="7" t="s">
        <v>84</v>
      </c>
      <c r="D202" t="s">
        <v>85</v>
      </c>
      <c r="E202" s="6">
        <v>3</v>
      </c>
      <c r="F202" s="6" t="s">
        <v>106</v>
      </c>
      <c r="G202" s="6" t="s">
        <v>104</v>
      </c>
      <c r="H202" s="6" t="s">
        <v>105</v>
      </c>
      <c r="I202" s="7"/>
      <c r="J202" s="7" t="s">
        <v>90</v>
      </c>
    </row>
    <row r="203" ht="15" customHeight="1">
      <c r="A203" s="9">
        <v>46002</v>
      </c>
      <c r="B203" s="7">
        <v>560</v>
      </c>
      <c r="C203" s="7" t="s">
        <v>84</v>
      </c>
      <c r="D203" t="s">
        <v>85</v>
      </c>
      <c r="E203" s="6">
        <v>3</v>
      </c>
      <c r="F203" s="6" t="s">
        <v>106</v>
      </c>
      <c r="G203" s="6" t="s">
        <v>104</v>
      </c>
      <c r="H203" s="6" t="s">
        <v>105</v>
      </c>
      <c r="I203" s="7"/>
      <c r="J203" s="7" t="s">
        <v>90</v>
      </c>
    </row>
    <row r="204" ht="15" customHeight="1">
      <c r="A204" s="9">
        <v>46009</v>
      </c>
      <c r="B204" s="7">
        <v>879</v>
      </c>
      <c r="C204" s="7" t="s">
        <v>84</v>
      </c>
      <c r="D204" t="s">
        <v>85</v>
      </c>
      <c r="E204" s="6">
        <v>3</v>
      </c>
      <c r="F204" s="6" t="s">
        <v>106</v>
      </c>
      <c r="G204" s="6" t="s">
        <v>104</v>
      </c>
      <c r="H204" s="6" t="s">
        <v>105</v>
      </c>
      <c r="I204" s="7"/>
      <c r="J204" s="7" t="s">
        <v>90</v>
      </c>
    </row>
    <row r="205" ht="15" customHeight="1">
      <c r="A205" s="9">
        <v>46016</v>
      </c>
      <c r="B205" s="7">
        <v>897</v>
      </c>
      <c r="C205" s="7" t="s">
        <v>84</v>
      </c>
      <c r="D205" t="s">
        <v>85</v>
      </c>
      <c r="E205" s="6">
        <v>3</v>
      </c>
      <c r="F205" s="6" t="s">
        <v>106</v>
      </c>
      <c r="G205" s="6" t="s">
        <v>104</v>
      </c>
      <c r="H205" s="6" t="s">
        <v>105</v>
      </c>
      <c r="I205" s="7"/>
      <c r="J205" s="7" t="s">
        <v>90</v>
      </c>
    </row>
    <row r="206" ht="15" customHeight="1">
      <c r="A206" s="9">
        <v>46037</v>
      </c>
      <c r="B206" s="7">
        <v>738</v>
      </c>
      <c r="C206" s="7" t="s">
        <v>84</v>
      </c>
      <c r="D206" t="s">
        <v>85</v>
      </c>
      <c r="E206" s="6">
        <v>3</v>
      </c>
      <c r="F206" s="6" t="s">
        <v>106</v>
      </c>
      <c r="G206" s="6" t="s">
        <v>104</v>
      </c>
      <c r="H206" s="6" t="s">
        <v>105</v>
      </c>
      <c r="I206" s="7"/>
      <c r="J206" s="7" t="s">
        <v>90</v>
      </c>
    </row>
    <row r="207" ht="15" customHeight="1">
      <c r="A207" s="9">
        <v>46044</v>
      </c>
      <c r="B207" s="7">
        <v>598</v>
      </c>
      <c r="C207" s="7" t="s">
        <v>84</v>
      </c>
      <c r="D207" t="s">
        <v>85</v>
      </c>
      <c r="E207" s="6">
        <v>3</v>
      </c>
      <c r="F207" s="6" t="s">
        <v>106</v>
      </c>
      <c r="G207" s="6" t="s">
        <v>104</v>
      </c>
      <c r="H207" s="6" t="s">
        <v>105</v>
      </c>
      <c r="I207" s="7"/>
      <c r="J207" s="7" t="s">
        <v>90</v>
      </c>
    </row>
    <row r="208" ht="15" customHeight="1">
      <c r="A208" s="9">
        <v>46051</v>
      </c>
      <c r="B208" s="7">
        <v>601</v>
      </c>
      <c r="C208" s="7" t="s">
        <v>84</v>
      </c>
      <c r="D208" t="s">
        <v>85</v>
      </c>
      <c r="E208" s="6">
        <v>3</v>
      </c>
      <c r="F208" s="6" t="s">
        <v>106</v>
      </c>
      <c r="G208" s="6" t="s">
        <v>104</v>
      </c>
      <c r="H208" s="6" t="s">
        <v>105</v>
      </c>
      <c r="I208" s="7"/>
      <c r="J208" s="7" t="s">
        <v>90</v>
      </c>
    </row>
    <row r="209" ht="15" customHeight="1">
      <c r="A209" s="9">
        <v>46058</v>
      </c>
      <c r="B209" s="7">
        <v>430</v>
      </c>
      <c r="C209" s="7" t="s">
        <v>84</v>
      </c>
      <c r="D209" t="s">
        <v>85</v>
      </c>
      <c r="E209" s="6">
        <v>3</v>
      </c>
      <c r="F209" s="6" t="s">
        <v>106</v>
      </c>
      <c r="G209" s="6" t="s">
        <v>104</v>
      </c>
      <c r="H209" s="6" t="s">
        <v>105</v>
      </c>
      <c r="I209" s="7"/>
      <c r="J209" s="7" t="s">
        <v>90</v>
      </c>
    </row>
    <row r="210" ht="15" customHeight="1">
      <c r="A210" s="9">
        <v>46065</v>
      </c>
      <c r="B210" s="7">
        <v>560</v>
      </c>
      <c r="C210" s="7" t="s">
        <v>84</v>
      </c>
      <c r="D210" t="s">
        <v>85</v>
      </c>
      <c r="E210" s="6">
        <v>3</v>
      </c>
      <c r="F210" s="6" t="s">
        <v>106</v>
      </c>
      <c r="G210" s="6" t="s">
        <v>104</v>
      </c>
      <c r="H210" s="6" t="s">
        <v>105</v>
      </c>
      <c r="I210" s="7"/>
      <c r="J210" s="7" t="s">
        <v>90</v>
      </c>
    </row>
    <row r="211" ht="15" customHeight="1">
      <c r="A211" s="9">
        <v>46072</v>
      </c>
      <c r="B211" s="7">
        <v>454</v>
      </c>
      <c r="C211" s="7" t="s">
        <v>84</v>
      </c>
      <c r="D211" t="s">
        <v>85</v>
      </c>
      <c r="E211" s="6">
        <v>3</v>
      </c>
      <c r="F211" s="6" t="s">
        <v>106</v>
      </c>
      <c r="G211" s="6" t="s">
        <v>104</v>
      </c>
      <c r="H211" s="6" t="s">
        <v>105</v>
      </c>
      <c r="I211" s="7"/>
      <c r="J211" s="7" t="s">
        <v>90</v>
      </c>
    </row>
    <row r="212" ht="15" customHeight="1">
      <c r="A212" s="9">
        <v>46079</v>
      </c>
      <c r="B212" s="7">
        <v>314</v>
      </c>
      <c r="C212" s="7" t="s">
        <v>84</v>
      </c>
      <c r="D212" t="s">
        <v>85</v>
      </c>
      <c r="E212" s="6">
        <v>3</v>
      </c>
      <c r="F212" s="6" t="s">
        <v>106</v>
      </c>
      <c r="G212" s="6" t="s">
        <v>104</v>
      </c>
      <c r="H212" s="6" t="s">
        <v>105</v>
      </c>
      <c r="I212" s="7"/>
      <c r="J212" s="7" t="s">
        <v>90</v>
      </c>
    </row>
    <row r="213" ht="15" customHeight="1">
      <c r="A213" s="9">
        <v>46086</v>
      </c>
      <c r="B213" s="7">
        <v>336</v>
      </c>
      <c r="C213" s="7" t="s">
        <v>84</v>
      </c>
      <c r="D213" t="s">
        <v>85</v>
      </c>
      <c r="E213" s="6">
        <v>3</v>
      </c>
      <c r="F213" s="6" t="s">
        <v>106</v>
      </c>
      <c r="G213" s="6" t="s">
        <v>104</v>
      </c>
      <c r="H213" s="6" t="s">
        <v>105</v>
      </c>
      <c r="I213" s="7"/>
      <c r="J213" s="7" t="s">
        <v>90</v>
      </c>
    </row>
    <row r="214" ht="15" customHeight="1">
      <c r="A214" s="9">
        <v>46093</v>
      </c>
      <c r="B214" s="7">
        <v>419</v>
      </c>
      <c r="C214" s="7" t="s">
        <v>84</v>
      </c>
      <c r="D214" t="s">
        <v>85</v>
      </c>
      <c r="E214" s="6">
        <v>3</v>
      </c>
      <c r="F214" s="6" t="s">
        <v>106</v>
      </c>
      <c r="G214" s="6" t="s">
        <v>104</v>
      </c>
      <c r="H214" s="6" t="s">
        <v>105</v>
      </c>
      <c r="I214" s="7"/>
      <c r="J214" s="7" t="s">
        <v>90</v>
      </c>
    </row>
    <row r="215" ht="15" customHeight="1">
      <c r="A215" s="9">
        <v>46100</v>
      </c>
      <c r="B215" s="7">
        <v>499</v>
      </c>
      <c r="C215" s="7" t="s">
        <v>84</v>
      </c>
      <c r="D215" t="s">
        <v>85</v>
      </c>
      <c r="E215" s="6">
        <v>3</v>
      </c>
      <c r="F215" s="6" t="s">
        <v>106</v>
      </c>
      <c r="G215" s="6" t="s">
        <v>104</v>
      </c>
      <c r="H215" s="6" t="s">
        <v>105</v>
      </c>
      <c r="I215" s="7"/>
      <c r="J215" s="7" t="s">
        <v>90</v>
      </c>
    </row>
    <row r="216" ht="15" customHeight="1">
      <c r="A216" s="9">
        <v>46107</v>
      </c>
      <c r="B216" s="7">
        <v>503</v>
      </c>
      <c r="C216" s="7" t="s">
        <v>84</v>
      </c>
      <c r="D216" t="s">
        <v>85</v>
      </c>
      <c r="E216" s="6">
        <v>3</v>
      </c>
      <c r="F216" s="6" t="s">
        <v>106</v>
      </c>
      <c r="G216" s="6" t="s">
        <v>104</v>
      </c>
      <c r="H216" s="6" t="s">
        <v>105</v>
      </c>
      <c r="I216" s="7"/>
      <c r="J216" s="7" t="s">
        <v>90</v>
      </c>
    </row>
    <row r="217" ht="15" customHeight="1">
      <c r="A217" s="9">
        <v>46114</v>
      </c>
      <c r="B217" s="7">
        <v>342</v>
      </c>
      <c r="C217" s="7" t="s">
        <v>84</v>
      </c>
      <c r="D217" t="s">
        <v>85</v>
      </c>
      <c r="E217" s="6">
        <v>3</v>
      </c>
      <c r="F217" s="6" t="s">
        <v>106</v>
      </c>
      <c r="G217" s="6" t="s">
        <v>104</v>
      </c>
      <c r="H217" s="6" t="s">
        <v>105</v>
      </c>
      <c r="I217" s="7"/>
      <c r="J217" s="7" t="s">
        <v>90</v>
      </c>
    </row>
    <row r="218" ht="15" customHeight="1">
      <c r="A218" s="9">
        <v>46121</v>
      </c>
      <c r="B218" s="14">
        <v>378</v>
      </c>
      <c r="C218" s="7" t="s">
        <v>84</v>
      </c>
      <c r="D218" t="s">
        <v>85</v>
      </c>
      <c r="E218" s="6">
        <v>3</v>
      </c>
      <c r="F218" s="6" t="s">
        <v>106</v>
      </c>
      <c r="G218" s="6" t="s">
        <v>104</v>
      </c>
      <c r="H218" s="6" t="s">
        <v>105</v>
      </c>
      <c r="I218" s="7"/>
      <c r="J218" s="7" t="s">
        <v>90</v>
      </c>
    </row>
    <row r="219" ht="15" customHeight="1">
      <c r="A219" s="9">
        <v>45897</v>
      </c>
      <c r="B219" s="7">
        <v>174</v>
      </c>
      <c r="C219" s="7" t="s">
        <v>82</v>
      </c>
      <c r="D219" s="7" t="s">
        <v>83</v>
      </c>
      <c r="E219" s="6">
        <v>3</v>
      </c>
      <c r="F219" s="6" t="s">
        <v>103</v>
      </c>
      <c r="G219" s="6" t="s">
        <v>104</v>
      </c>
      <c r="H219" s="6" t="s">
        <v>105</v>
      </c>
      <c r="I219" s="7"/>
      <c r="J219" s="7" t="s">
        <v>90</v>
      </c>
    </row>
    <row r="220" ht="15" customHeight="1">
      <c r="A220" s="9">
        <v>45904</v>
      </c>
      <c r="B220" s="7">
        <v>215</v>
      </c>
      <c r="C220" s="7" t="s">
        <v>82</v>
      </c>
      <c r="D220" s="7" t="s">
        <v>83</v>
      </c>
      <c r="E220" s="6">
        <v>3</v>
      </c>
      <c r="F220" s="6" t="s">
        <v>103</v>
      </c>
      <c r="G220" s="6" t="s">
        <v>104</v>
      </c>
      <c r="H220" s="6" t="s">
        <v>105</v>
      </c>
      <c r="I220" s="7"/>
      <c r="J220" s="7" t="s">
        <v>90</v>
      </c>
    </row>
    <row r="221" ht="15" customHeight="1">
      <c r="A221" s="9">
        <v>45911</v>
      </c>
      <c r="B221" s="7">
        <v>143</v>
      </c>
      <c r="C221" s="7" t="s">
        <v>82</v>
      </c>
      <c r="D221" s="7" t="s">
        <v>83</v>
      </c>
      <c r="E221" s="6">
        <v>3</v>
      </c>
      <c r="F221" s="6" t="s">
        <v>103</v>
      </c>
      <c r="G221" s="6" t="s">
        <v>104</v>
      </c>
      <c r="H221" s="6" t="s">
        <v>105</v>
      </c>
      <c r="I221" s="7"/>
      <c r="J221" s="7" t="s">
        <v>90</v>
      </c>
    </row>
    <row r="222" ht="15" customHeight="1">
      <c r="A222" s="9">
        <v>45918</v>
      </c>
      <c r="B222" s="7">
        <v>252</v>
      </c>
      <c r="C222" s="7" t="s">
        <v>82</v>
      </c>
      <c r="D222" s="7" t="s">
        <v>83</v>
      </c>
      <c r="E222" s="6">
        <v>3</v>
      </c>
      <c r="F222" s="6" t="s">
        <v>103</v>
      </c>
      <c r="G222" s="6" t="s">
        <v>104</v>
      </c>
      <c r="H222" s="6" t="s">
        <v>105</v>
      </c>
      <c r="I222" s="7"/>
      <c r="J222" s="7" t="s">
        <v>90</v>
      </c>
    </row>
    <row r="223" ht="15" customHeight="1">
      <c r="A223" s="9">
        <v>45925</v>
      </c>
      <c r="B223" s="7">
        <v>194</v>
      </c>
      <c r="C223" s="7" t="s">
        <v>82</v>
      </c>
      <c r="D223" s="7" t="s">
        <v>83</v>
      </c>
      <c r="E223" s="6">
        <v>3</v>
      </c>
      <c r="F223" s="6" t="s">
        <v>103</v>
      </c>
      <c r="G223" s="6" t="s">
        <v>104</v>
      </c>
      <c r="H223" s="6" t="s">
        <v>105</v>
      </c>
      <c r="I223" s="7"/>
      <c r="J223" s="7" t="s">
        <v>90</v>
      </c>
    </row>
    <row r="224" ht="15" customHeight="1">
      <c r="A224" s="9">
        <v>45932</v>
      </c>
      <c r="B224" s="7">
        <v>231</v>
      </c>
      <c r="C224" s="7" t="s">
        <v>82</v>
      </c>
      <c r="D224" s="7" t="s">
        <v>83</v>
      </c>
      <c r="E224" s="6">
        <v>3</v>
      </c>
      <c r="F224" s="6" t="s">
        <v>103</v>
      </c>
      <c r="G224" s="6" t="s">
        <v>104</v>
      </c>
      <c r="H224" s="6" t="s">
        <v>105</v>
      </c>
      <c r="I224" s="7"/>
      <c r="J224" s="7" t="s">
        <v>90</v>
      </c>
    </row>
    <row r="225" ht="15" customHeight="1">
      <c r="A225" s="9">
        <v>45939</v>
      </c>
      <c r="B225" s="7">
        <v>146</v>
      </c>
      <c r="C225" s="7" t="s">
        <v>82</v>
      </c>
      <c r="D225" s="7" t="s">
        <v>83</v>
      </c>
      <c r="E225" s="6">
        <v>3</v>
      </c>
      <c r="F225" s="6" t="s">
        <v>103</v>
      </c>
      <c r="G225" s="6" t="s">
        <v>104</v>
      </c>
      <c r="H225" s="6" t="s">
        <v>105</v>
      </c>
      <c r="I225" s="7"/>
      <c r="J225" s="7" t="s">
        <v>90</v>
      </c>
    </row>
    <row r="226" ht="15" customHeight="1">
      <c r="A226" s="9">
        <v>45946</v>
      </c>
      <c r="B226" s="7">
        <v>193</v>
      </c>
      <c r="C226" s="7" t="s">
        <v>82</v>
      </c>
      <c r="D226" s="7" t="s">
        <v>83</v>
      </c>
      <c r="E226" s="6">
        <v>3</v>
      </c>
      <c r="F226" s="6" t="s">
        <v>103</v>
      </c>
      <c r="G226" s="6" t="s">
        <v>104</v>
      </c>
      <c r="H226" s="6" t="s">
        <v>105</v>
      </c>
      <c r="I226" s="7"/>
      <c r="J226" s="7" t="s">
        <v>90</v>
      </c>
    </row>
    <row r="227" ht="15" customHeight="1">
      <c r="A227" s="9">
        <v>45953</v>
      </c>
      <c r="B227" s="7">
        <v>192</v>
      </c>
      <c r="C227" s="7" t="s">
        <v>82</v>
      </c>
      <c r="D227" s="7" t="s">
        <v>83</v>
      </c>
      <c r="E227" s="6">
        <v>3</v>
      </c>
      <c r="F227" s="6" t="s">
        <v>103</v>
      </c>
      <c r="G227" s="6" t="s">
        <v>104</v>
      </c>
      <c r="H227" s="6" t="s">
        <v>105</v>
      </c>
      <c r="I227" s="7"/>
      <c r="J227" s="7" t="s">
        <v>90</v>
      </c>
    </row>
    <row r="228" ht="15" customHeight="1">
      <c r="A228" s="9">
        <v>45960</v>
      </c>
      <c r="B228" s="7">
        <v>239</v>
      </c>
      <c r="C228" s="7" t="s">
        <v>82</v>
      </c>
      <c r="D228" s="7" t="s">
        <v>83</v>
      </c>
      <c r="E228" s="6">
        <v>3</v>
      </c>
      <c r="F228" s="6" t="s">
        <v>103</v>
      </c>
      <c r="G228" s="6" t="s">
        <v>104</v>
      </c>
      <c r="H228" s="6" t="s">
        <v>105</v>
      </c>
      <c r="I228" s="7"/>
      <c r="J228" s="7" t="s">
        <v>90</v>
      </c>
    </row>
    <row r="229" ht="15" customHeight="1">
      <c r="A229" s="9">
        <v>45967</v>
      </c>
      <c r="B229" s="7">
        <v>156</v>
      </c>
      <c r="C229" s="7" t="s">
        <v>82</v>
      </c>
      <c r="D229" s="7" t="s">
        <v>83</v>
      </c>
      <c r="E229" s="6">
        <v>3</v>
      </c>
      <c r="F229" s="6" t="s">
        <v>103</v>
      </c>
      <c r="G229" s="6" t="s">
        <v>104</v>
      </c>
      <c r="H229" s="6" t="s">
        <v>105</v>
      </c>
      <c r="I229" s="7"/>
      <c r="J229" s="7" t="s">
        <v>90</v>
      </c>
    </row>
    <row r="230" ht="15" customHeight="1">
      <c r="A230" s="9">
        <v>45974</v>
      </c>
      <c r="B230" s="7">
        <v>213</v>
      </c>
      <c r="C230" s="7" t="s">
        <v>82</v>
      </c>
      <c r="D230" s="7" t="s">
        <v>83</v>
      </c>
      <c r="E230" s="6">
        <v>3</v>
      </c>
      <c r="F230" s="6" t="s">
        <v>103</v>
      </c>
      <c r="G230" s="6" t="s">
        <v>104</v>
      </c>
      <c r="H230" s="6" t="s">
        <v>105</v>
      </c>
      <c r="I230" s="7"/>
      <c r="J230" s="7" t="s">
        <v>90</v>
      </c>
    </row>
    <row r="231" ht="15" customHeight="1">
      <c r="A231" s="9">
        <v>45981</v>
      </c>
      <c r="B231" s="7">
        <v>204</v>
      </c>
      <c r="C231" s="7" t="s">
        <v>82</v>
      </c>
      <c r="D231" s="7" t="s">
        <v>83</v>
      </c>
      <c r="E231" s="6">
        <v>3</v>
      </c>
      <c r="F231" s="6" t="s">
        <v>103</v>
      </c>
      <c r="G231" s="6" t="s">
        <v>104</v>
      </c>
      <c r="H231" s="6" t="s">
        <v>105</v>
      </c>
      <c r="I231" s="7"/>
      <c r="J231" s="7" t="s">
        <v>90</v>
      </c>
    </row>
    <row r="232" ht="15" customHeight="1">
      <c r="A232" s="9">
        <v>45988</v>
      </c>
      <c r="B232" s="7">
        <v>227</v>
      </c>
      <c r="C232" s="7" t="s">
        <v>82</v>
      </c>
      <c r="D232" s="7" t="s">
        <v>83</v>
      </c>
      <c r="E232" s="6">
        <v>3</v>
      </c>
      <c r="F232" s="6" t="s">
        <v>103</v>
      </c>
      <c r="G232" s="6" t="s">
        <v>104</v>
      </c>
      <c r="H232" s="6" t="s">
        <v>105</v>
      </c>
      <c r="I232" s="7"/>
      <c r="J232" s="7" t="s">
        <v>90</v>
      </c>
    </row>
    <row r="233" ht="15" customHeight="1">
      <c r="A233" s="9">
        <v>45995</v>
      </c>
      <c r="B233" s="7">
        <v>212</v>
      </c>
      <c r="C233" s="7" t="s">
        <v>82</v>
      </c>
      <c r="D233" s="7" t="s">
        <v>83</v>
      </c>
      <c r="E233" s="6">
        <v>3</v>
      </c>
      <c r="F233" s="6" t="s">
        <v>103</v>
      </c>
      <c r="G233" s="6" t="s">
        <v>104</v>
      </c>
      <c r="H233" s="6" t="s">
        <v>105</v>
      </c>
      <c r="I233" s="7"/>
      <c r="J233" s="7" t="s">
        <v>90</v>
      </c>
    </row>
    <row r="234" ht="15" customHeight="1">
      <c r="A234" s="9">
        <v>46002</v>
      </c>
      <c r="B234" s="7">
        <v>374</v>
      </c>
      <c r="C234" s="7" t="s">
        <v>82</v>
      </c>
      <c r="D234" s="7" t="s">
        <v>83</v>
      </c>
      <c r="E234" s="6">
        <v>3</v>
      </c>
      <c r="F234" s="6" t="s">
        <v>103</v>
      </c>
      <c r="G234" s="6" t="s">
        <v>104</v>
      </c>
      <c r="H234" s="6" t="s">
        <v>105</v>
      </c>
      <c r="I234" s="7"/>
      <c r="J234" s="7" t="s">
        <v>90</v>
      </c>
    </row>
    <row r="235" ht="15" customHeight="1">
      <c r="A235" s="9">
        <v>46009</v>
      </c>
      <c r="B235" s="7">
        <v>546</v>
      </c>
      <c r="C235" s="7" t="s">
        <v>82</v>
      </c>
      <c r="D235" s="7" t="s">
        <v>83</v>
      </c>
      <c r="E235" s="6">
        <v>3</v>
      </c>
      <c r="F235" s="6" t="s">
        <v>103</v>
      </c>
      <c r="G235" s="6" t="s">
        <v>104</v>
      </c>
      <c r="H235" s="6" t="s">
        <v>105</v>
      </c>
      <c r="I235" s="7"/>
      <c r="J235" s="7" t="s">
        <v>90</v>
      </c>
    </row>
    <row r="236" ht="15" customHeight="1">
      <c r="A236" s="9">
        <v>46016</v>
      </c>
      <c r="B236" s="7">
        <v>572</v>
      </c>
      <c r="C236" s="7" t="s">
        <v>82</v>
      </c>
      <c r="D236" s="7" t="s">
        <v>83</v>
      </c>
      <c r="E236" s="6">
        <v>3</v>
      </c>
      <c r="F236" s="6" t="s">
        <v>103</v>
      </c>
      <c r="G236" s="6" t="s">
        <v>104</v>
      </c>
      <c r="H236" s="6" t="s">
        <v>105</v>
      </c>
      <c r="I236" s="7"/>
      <c r="J236" s="7" t="s">
        <v>90</v>
      </c>
    </row>
    <row r="237" ht="15" customHeight="1">
      <c r="A237" s="9">
        <v>46037</v>
      </c>
      <c r="B237" s="7">
        <v>453</v>
      </c>
      <c r="C237" s="7" t="s">
        <v>82</v>
      </c>
      <c r="D237" s="7" t="s">
        <v>83</v>
      </c>
      <c r="E237" s="6">
        <v>3</v>
      </c>
      <c r="F237" s="6" t="s">
        <v>103</v>
      </c>
      <c r="G237" s="6" t="s">
        <v>104</v>
      </c>
      <c r="H237" s="6" t="s">
        <v>105</v>
      </c>
      <c r="I237" s="7"/>
      <c r="J237" s="7" t="s">
        <v>90</v>
      </c>
    </row>
    <row r="238" ht="15" customHeight="1">
      <c r="A238" s="9">
        <v>46044</v>
      </c>
      <c r="B238" s="7">
        <v>394</v>
      </c>
      <c r="C238" s="7" t="s">
        <v>82</v>
      </c>
      <c r="D238" s="7" t="s">
        <v>83</v>
      </c>
      <c r="E238" s="6">
        <v>3</v>
      </c>
      <c r="F238" s="6" t="s">
        <v>103</v>
      </c>
      <c r="G238" s="6" t="s">
        <v>104</v>
      </c>
      <c r="H238" s="6" t="s">
        <v>105</v>
      </c>
      <c r="I238" s="7"/>
      <c r="J238" s="7" t="s">
        <v>90</v>
      </c>
    </row>
    <row r="239" ht="15" customHeight="1">
      <c r="A239" s="9">
        <v>46051</v>
      </c>
      <c r="B239" s="7">
        <v>410</v>
      </c>
      <c r="C239" s="7" t="s">
        <v>82</v>
      </c>
      <c r="D239" s="7" t="s">
        <v>83</v>
      </c>
      <c r="E239" s="6">
        <v>3</v>
      </c>
      <c r="F239" s="6" t="s">
        <v>103</v>
      </c>
      <c r="G239" s="6" t="s">
        <v>104</v>
      </c>
      <c r="H239" s="6" t="s">
        <v>105</v>
      </c>
      <c r="I239" s="7"/>
      <c r="J239" s="7" t="s">
        <v>90</v>
      </c>
    </row>
    <row r="240" ht="15" customHeight="1">
      <c r="A240" s="9">
        <v>46058</v>
      </c>
      <c r="B240" s="7">
        <v>310</v>
      </c>
      <c r="C240" s="7" t="s">
        <v>82</v>
      </c>
      <c r="D240" s="7" t="s">
        <v>83</v>
      </c>
      <c r="E240" s="6">
        <v>3</v>
      </c>
      <c r="F240" s="6" t="s">
        <v>103</v>
      </c>
      <c r="G240" s="6" t="s">
        <v>104</v>
      </c>
      <c r="H240" s="6" t="s">
        <v>105</v>
      </c>
      <c r="I240" s="7"/>
      <c r="J240" s="7" t="s">
        <v>90</v>
      </c>
    </row>
    <row r="241" ht="15" customHeight="1">
      <c r="A241" s="9">
        <v>46065</v>
      </c>
      <c r="B241" s="7">
        <v>402</v>
      </c>
      <c r="C241" s="7" t="s">
        <v>82</v>
      </c>
      <c r="D241" s="7" t="s">
        <v>83</v>
      </c>
      <c r="E241" s="6">
        <v>3</v>
      </c>
      <c r="F241" s="6" t="s">
        <v>103</v>
      </c>
      <c r="G241" s="6" t="s">
        <v>104</v>
      </c>
      <c r="H241" s="6" t="s">
        <v>105</v>
      </c>
      <c r="I241" s="7"/>
      <c r="J241" s="7" t="s">
        <v>90</v>
      </c>
    </row>
    <row r="242" ht="15" customHeight="1">
      <c r="A242" s="9">
        <v>46072</v>
      </c>
      <c r="B242" s="7">
        <v>333</v>
      </c>
      <c r="C242" s="7" t="s">
        <v>82</v>
      </c>
      <c r="D242" s="7" t="s">
        <v>83</v>
      </c>
      <c r="E242" s="6">
        <v>3</v>
      </c>
      <c r="F242" s="6" t="s">
        <v>103</v>
      </c>
      <c r="G242" s="6" t="s">
        <v>104</v>
      </c>
      <c r="H242" s="6" t="s">
        <v>105</v>
      </c>
      <c r="I242" s="7"/>
      <c r="J242" s="7" t="s">
        <v>90</v>
      </c>
    </row>
    <row r="243" ht="15" customHeight="1">
      <c r="A243" s="9">
        <v>46079</v>
      </c>
      <c r="B243" s="7">
        <v>247</v>
      </c>
      <c r="C243" s="7" t="s">
        <v>82</v>
      </c>
      <c r="D243" s="7" t="s">
        <v>83</v>
      </c>
      <c r="E243" s="6">
        <v>3</v>
      </c>
      <c r="F243" s="6" t="s">
        <v>103</v>
      </c>
      <c r="G243" s="6" t="s">
        <v>104</v>
      </c>
      <c r="H243" s="6" t="s">
        <v>105</v>
      </c>
      <c r="I243" s="7"/>
      <c r="J243" s="7" t="s">
        <v>90</v>
      </c>
    </row>
    <row r="244" ht="15" customHeight="1">
      <c r="A244" s="9">
        <v>46086</v>
      </c>
      <c r="B244" s="7">
        <v>265</v>
      </c>
      <c r="C244" s="7" t="s">
        <v>82</v>
      </c>
      <c r="D244" s="7" t="s">
        <v>83</v>
      </c>
      <c r="E244" s="6">
        <v>3</v>
      </c>
      <c r="F244" s="6" t="s">
        <v>103</v>
      </c>
      <c r="G244" s="6" t="s">
        <v>104</v>
      </c>
      <c r="H244" s="6" t="s">
        <v>105</v>
      </c>
      <c r="I244" s="7"/>
      <c r="J244" s="7" t="s">
        <v>90</v>
      </c>
    </row>
    <row r="245" ht="15" customHeight="1">
      <c r="A245" s="9">
        <v>46093</v>
      </c>
      <c r="B245" s="7">
        <v>315</v>
      </c>
      <c r="C245" s="7" t="s">
        <v>82</v>
      </c>
      <c r="D245" s="7" t="s">
        <v>83</v>
      </c>
      <c r="E245" s="6">
        <v>3</v>
      </c>
      <c r="F245" s="6" t="s">
        <v>103</v>
      </c>
      <c r="G245" s="6" t="s">
        <v>104</v>
      </c>
      <c r="H245" s="6" t="s">
        <v>105</v>
      </c>
      <c r="I245" s="7"/>
      <c r="J245" s="7" t="s">
        <v>90</v>
      </c>
    </row>
    <row r="246" ht="15" customHeight="1">
      <c r="A246" s="9">
        <v>46100</v>
      </c>
      <c r="B246" s="7">
        <v>376</v>
      </c>
      <c r="C246" s="7" t="s">
        <v>82</v>
      </c>
      <c r="D246" s="7" t="s">
        <v>83</v>
      </c>
      <c r="E246" s="6">
        <v>3</v>
      </c>
      <c r="F246" s="6" t="s">
        <v>103</v>
      </c>
      <c r="G246" s="6" t="s">
        <v>104</v>
      </c>
      <c r="H246" s="6" t="s">
        <v>105</v>
      </c>
      <c r="I246" s="7"/>
      <c r="J246" s="7" t="s">
        <v>90</v>
      </c>
    </row>
    <row r="247" ht="15" customHeight="1">
      <c r="A247" s="9">
        <v>46107</v>
      </c>
      <c r="B247" s="7">
        <v>372</v>
      </c>
      <c r="C247" s="7" t="s">
        <v>82</v>
      </c>
      <c r="D247" s="7" t="s">
        <v>83</v>
      </c>
      <c r="E247" s="6">
        <v>3</v>
      </c>
      <c r="F247" s="6" t="s">
        <v>103</v>
      </c>
      <c r="G247" s="6" t="s">
        <v>104</v>
      </c>
      <c r="H247" s="6" t="s">
        <v>105</v>
      </c>
      <c r="I247" s="7"/>
      <c r="J247" s="7" t="s">
        <v>90</v>
      </c>
    </row>
    <row r="248" ht="15" customHeight="1">
      <c r="A248" s="9">
        <v>46114</v>
      </c>
      <c r="B248" s="7">
        <v>275</v>
      </c>
      <c r="C248" s="7" t="s">
        <v>82</v>
      </c>
      <c r="D248" s="7" t="s">
        <v>83</v>
      </c>
      <c r="E248" s="6">
        <v>3</v>
      </c>
      <c r="F248" s="6" t="s">
        <v>103</v>
      </c>
      <c r="G248" s="6" t="s">
        <v>104</v>
      </c>
      <c r="H248" s="6" t="s">
        <v>105</v>
      </c>
      <c r="I248" s="7"/>
      <c r="J248" s="7" t="s">
        <v>90</v>
      </c>
    </row>
    <row r="249" ht="15" customHeight="1">
      <c r="A249" s="9">
        <v>46121</v>
      </c>
      <c r="B249" s="14">
        <v>294</v>
      </c>
      <c r="C249" s="7" t="s">
        <v>82</v>
      </c>
      <c r="D249" s="7" t="s">
        <v>83</v>
      </c>
      <c r="E249" s="6">
        <v>3</v>
      </c>
      <c r="F249" s="6" t="s">
        <v>103</v>
      </c>
      <c r="G249" s="6" t="s">
        <v>104</v>
      </c>
      <c r="H249" s="6" t="s">
        <v>105</v>
      </c>
      <c r="I249" s="7"/>
      <c r="J249" s="7" t="s">
        <v>90</v>
      </c>
    </row>
    <row r="250" ht="15" customHeight="1">
      <c r="A250" s="9">
        <v>45897</v>
      </c>
      <c r="B250" s="13">
        <v>1.5266903914590748</v>
      </c>
      <c r="C250" s="7" t="s">
        <v>80</v>
      </c>
      <c r="D250" s="7" t="s">
        <v>81</v>
      </c>
      <c r="E250" s="6">
        <v>3</v>
      </c>
      <c r="F250" s="6" t="s">
        <v>104</v>
      </c>
      <c r="G250" s="6" t="s">
        <v>104</v>
      </c>
      <c r="H250" s="6" t="s">
        <v>105</v>
      </c>
      <c r="I250" s="7"/>
      <c r="J250" s="7" t="s">
        <v>90</v>
      </c>
    </row>
    <row r="251" ht="15" customHeight="1">
      <c r="A251" s="9">
        <v>45904</v>
      </c>
      <c r="B251" s="13">
        <v>1.6928571428571428</v>
      </c>
      <c r="C251" s="7" t="s">
        <v>80</v>
      </c>
      <c r="D251" s="7" t="s">
        <v>81</v>
      </c>
      <c r="E251" s="6">
        <v>3</v>
      </c>
      <c r="F251" s="6" t="s">
        <v>104</v>
      </c>
      <c r="G251" s="6" t="s">
        <v>104</v>
      </c>
      <c r="H251" s="6" t="s">
        <v>105</v>
      </c>
      <c r="I251" s="7"/>
      <c r="J251" s="7" t="s">
        <v>90</v>
      </c>
    </row>
    <row r="252" ht="15" customHeight="1">
      <c r="A252" s="9">
        <v>45911</v>
      </c>
      <c r="B252" s="13">
        <v>1.9431818181818181</v>
      </c>
      <c r="C252" s="7" t="s">
        <v>80</v>
      </c>
      <c r="D252" s="7" t="s">
        <v>81</v>
      </c>
      <c r="E252" s="6">
        <v>3</v>
      </c>
      <c r="F252" s="6" t="s">
        <v>104</v>
      </c>
      <c r="G252" s="6" t="s">
        <v>104</v>
      </c>
      <c r="H252" s="6" t="s">
        <v>105</v>
      </c>
      <c r="I252" s="7"/>
      <c r="J252" s="7" t="s">
        <v>90</v>
      </c>
    </row>
    <row r="253" ht="15" customHeight="1">
      <c r="A253" s="9">
        <v>45918</v>
      </c>
      <c r="B253" s="13">
        <v>2.0459770114942528</v>
      </c>
      <c r="C253" s="7" t="s">
        <v>80</v>
      </c>
      <c r="D253" s="7" t="s">
        <v>81</v>
      </c>
      <c r="E253" s="6">
        <v>3</v>
      </c>
      <c r="F253" s="6" t="s">
        <v>104</v>
      </c>
      <c r="G253" s="6" t="s">
        <v>104</v>
      </c>
      <c r="H253" s="6" t="s">
        <v>105</v>
      </c>
      <c r="I253" s="7"/>
      <c r="J253" s="7" t="s">
        <v>90</v>
      </c>
    </row>
    <row r="254" ht="15" customHeight="1">
      <c r="A254" s="9">
        <v>45925</v>
      </c>
      <c r="B254" s="13">
        <v>2.3145937499999998</v>
      </c>
      <c r="C254" s="7" t="s">
        <v>80</v>
      </c>
      <c r="D254" s="7" t="s">
        <v>81</v>
      </c>
      <c r="E254" s="6">
        <v>3</v>
      </c>
      <c r="F254" s="6" t="s">
        <v>104</v>
      </c>
      <c r="G254" s="6" t="s">
        <v>104</v>
      </c>
      <c r="H254" s="6" t="s">
        <v>105</v>
      </c>
      <c r="I254" s="7"/>
      <c r="J254" s="7" t="s">
        <v>90</v>
      </c>
    </row>
    <row r="255" ht="15" customHeight="1">
      <c r="A255" s="9">
        <v>45932</v>
      </c>
      <c r="B255" s="13">
        <v>2.4018584070796458</v>
      </c>
      <c r="C255" s="7" t="s">
        <v>80</v>
      </c>
      <c r="D255" s="7" t="s">
        <v>81</v>
      </c>
      <c r="E255" s="6">
        <v>3</v>
      </c>
      <c r="F255" s="6" t="s">
        <v>104</v>
      </c>
      <c r="G255" s="6" t="s">
        <v>104</v>
      </c>
      <c r="H255" s="6" t="s">
        <v>105</v>
      </c>
      <c r="I255" s="7"/>
      <c r="J255" s="7" t="s">
        <v>90</v>
      </c>
    </row>
    <row r="256" ht="15" customHeight="1">
      <c r="A256" s="9">
        <v>45939</v>
      </c>
      <c r="B256" s="13">
        <v>2.5117346938775515</v>
      </c>
      <c r="C256" s="7" t="s">
        <v>80</v>
      </c>
      <c r="D256" s="7" t="s">
        <v>81</v>
      </c>
      <c r="E256" s="6">
        <v>3</v>
      </c>
      <c r="F256" s="6" t="s">
        <v>104</v>
      </c>
      <c r="G256" s="6" t="s">
        <v>104</v>
      </c>
      <c r="H256" s="6" t="s">
        <v>105</v>
      </c>
      <c r="I256" s="7"/>
      <c r="J256" s="7" t="s">
        <v>90</v>
      </c>
    </row>
    <row r="257" ht="15" customHeight="1">
      <c r="A257" s="9">
        <v>45946</v>
      </c>
      <c r="B257" s="13">
        <v>2.5279374999999997</v>
      </c>
      <c r="C257" s="7" t="s">
        <v>80</v>
      </c>
      <c r="D257" s="7" t="s">
        <v>81</v>
      </c>
      <c r="E257" s="6">
        <v>3</v>
      </c>
      <c r="F257" s="6" t="s">
        <v>104</v>
      </c>
      <c r="G257" s="6" t="s">
        <v>104</v>
      </c>
      <c r="H257" s="6" t="s">
        <v>105</v>
      </c>
      <c r="I257" s="7"/>
      <c r="J257" s="7" t="s">
        <v>90</v>
      </c>
    </row>
    <row r="258" ht="15" customHeight="1">
      <c r="A258" s="9">
        <v>45953</v>
      </c>
      <c r="B258" s="13">
        <v>2.5904792332268367</v>
      </c>
      <c r="C258" s="7" t="s">
        <v>80</v>
      </c>
      <c r="D258" s="7" t="s">
        <v>81</v>
      </c>
      <c r="E258" s="6">
        <v>3</v>
      </c>
      <c r="F258" s="6" t="s">
        <v>104</v>
      </c>
      <c r="G258" s="6" t="s">
        <v>104</v>
      </c>
      <c r="H258" s="6" t="s">
        <v>105</v>
      </c>
      <c r="I258" s="7"/>
      <c r="J258" s="7" t="s">
        <v>90</v>
      </c>
    </row>
    <row r="259" ht="15" customHeight="1">
      <c r="A259" s="9">
        <v>45960</v>
      </c>
      <c r="B259" s="13">
        <v>2.7547115384615384</v>
      </c>
      <c r="C259" s="7" t="s">
        <v>80</v>
      </c>
      <c r="D259" s="7" t="s">
        <v>81</v>
      </c>
      <c r="E259" s="6">
        <v>3</v>
      </c>
      <c r="F259" s="6" t="s">
        <v>104</v>
      </c>
      <c r="G259" s="6" t="s">
        <v>104</v>
      </c>
      <c r="H259" s="6" t="s">
        <v>105</v>
      </c>
      <c r="I259" s="7"/>
      <c r="J259" s="7" t="s">
        <v>90</v>
      </c>
    </row>
    <row r="260" ht="15" customHeight="1">
      <c r="A260" s="9">
        <v>45967</v>
      </c>
      <c r="B260" s="13">
        <v>2.6561558441558444</v>
      </c>
      <c r="C260" s="7" t="s">
        <v>80</v>
      </c>
      <c r="D260" s="7" t="s">
        <v>81</v>
      </c>
      <c r="E260" s="6">
        <v>3</v>
      </c>
      <c r="F260" s="6" t="s">
        <v>104</v>
      </c>
      <c r="G260" s="6" t="s">
        <v>104</v>
      </c>
      <c r="H260" s="6" t="s">
        <v>105</v>
      </c>
      <c r="I260" s="7"/>
      <c r="J260" s="7" t="s">
        <v>90</v>
      </c>
    </row>
    <row r="261" ht="15" customHeight="1">
      <c r="A261" s="9">
        <v>45974</v>
      </c>
      <c r="B261" s="13">
        <v>2.8095633187772928</v>
      </c>
      <c r="C261" s="7" t="s">
        <v>80</v>
      </c>
      <c r="D261" s="7" t="s">
        <v>81</v>
      </c>
      <c r="E261" s="6">
        <v>3</v>
      </c>
      <c r="F261" s="6" t="s">
        <v>104</v>
      </c>
      <c r="G261" s="6" t="s">
        <v>104</v>
      </c>
      <c r="H261" s="6" t="s">
        <v>105</v>
      </c>
      <c r="I261" s="7"/>
      <c r="J261" s="7" t="s">
        <v>90</v>
      </c>
    </row>
    <row r="262" ht="15" customHeight="1">
      <c r="A262" s="9">
        <v>45981</v>
      </c>
      <c r="B262" s="13">
        <v>2.9073437500000012</v>
      </c>
      <c r="C262" s="7" t="s">
        <v>80</v>
      </c>
      <c r="D262" s="7" t="s">
        <v>81</v>
      </c>
      <c r="E262" s="6">
        <v>3</v>
      </c>
      <c r="F262" s="6" t="s">
        <v>104</v>
      </c>
      <c r="G262" s="6" t="s">
        <v>104</v>
      </c>
      <c r="H262" s="6" t="s">
        <v>105</v>
      </c>
      <c r="I262" s="7"/>
      <c r="J262" s="7" t="s">
        <v>90</v>
      </c>
    </row>
    <row r="263" ht="15" customHeight="1">
      <c r="A263" s="9">
        <v>45988</v>
      </c>
      <c r="B263" s="13">
        <v>2.9228486646884271</v>
      </c>
      <c r="C263" s="7" t="s">
        <v>80</v>
      </c>
      <c r="D263" s="7" t="s">
        <v>81</v>
      </c>
      <c r="E263" s="6">
        <v>3</v>
      </c>
      <c r="F263" s="6" t="s">
        <v>104</v>
      </c>
      <c r="G263" s="6" t="s">
        <v>104</v>
      </c>
      <c r="H263" s="6" t="s">
        <v>105</v>
      </c>
      <c r="I263" s="7"/>
      <c r="J263" s="7" t="s">
        <v>90</v>
      </c>
    </row>
    <row r="264" ht="15" customHeight="1">
      <c r="A264" s="9">
        <v>45995</v>
      </c>
      <c r="B264" s="13">
        <v>2.8106666666666666</v>
      </c>
      <c r="C264" s="7" t="s">
        <v>80</v>
      </c>
      <c r="D264" s="7" t="s">
        <v>81</v>
      </c>
      <c r="E264" s="6">
        <v>3</v>
      </c>
      <c r="F264" s="6" t="s">
        <v>104</v>
      </c>
      <c r="G264" s="6" t="s">
        <v>104</v>
      </c>
      <c r="H264" s="6" t="s">
        <v>105</v>
      </c>
      <c r="I264" s="7"/>
      <c r="J264" s="7" t="s">
        <v>90</v>
      </c>
    </row>
    <row r="265" ht="15" customHeight="1">
      <c r="A265" s="9">
        <v>46002</v>
      </c>
      <c r="B265" s="13">
        <v>2.3310344827586209</v>
      </c>
      <c r="C265" s="7" t="s">
        <v>80</v>
      </c>
      <c r="D265" s="7" t="s">
        <v>81</v>
      </c>
      <c r="E265" s="6">
        <v>3</v>
      </c>
      <c r="F265" s="6" t="s">
        <v>104</v>
      </c>
      <c r="G265" s="6" t="s">
        <v>104</v>
      </c>
      <c r="H265" s="6" t="s">
        <v>105</v>
      </c>
      <c r="I265" s="7"/>
      <c r="J265" s="7" t="s">
        <v>90</v>
      </c>
    </row>
    <row r="266" ht="15" customHeight="1">
      <c r="A266" s="9">
        <v>46009</v>
      </c>
      <c r="B266" s="13">
        <v>2.2236559139784946</v>
      </c>
      <c r="C266" s="7" t="s">
        <v>80</v>
      </c>
      <c r="D266" s="7" t="s">
        <v>81</v>
      </c>
      <c r="E266" s="6">
        <v>3</v>
      </c>
      <c r="F266" s="6" t="s">
        <v>104</v>
      </c>
      <c r="G266" s="6" t="s">
        <v>104</v>
      </c>
      <c r="H266" s="6" t="s">
        <v>105</v>
      </c>
      <c r="I266" s="7"/>
      <c r="J266" s="7" t="s">
        <v>90</v>
      </c>
    </row>
    <row r="267" ht="15" customHeight="1">
      <c r="A267" s="9">
        <v>46016</v>
      </c>
      <c r="B267" s="13">
        <v>2.2649006622516556</v>
      </c>
      <c r="C267" s="7" t="s">
        <v>80</v>
      </c>
      <c r="D267" s="7" t="s">
        <v>81</v>
      </c>
      <c r="E267" s="6">
        <v>3</v>
      </c>
      <c r="F267" s="6" t="s">
        <v>104</v>
      </c>
      <c r="G267" s="6" t="s">
        <v>104</v>
      </c>
      <c r="H267" s="6" t="s">
        <v>105</v>
      </c>
      <c r="I267" s="7"/>
      <c r="J267" s="7" t="s">
        <v>90</v>
      </c>
    </row>
    <row r="268" ht="15" customHeight="1">
      <c r="A268" s="9">
        <v>46037</v>
      </c>
      <c r="B268" s="13">
        <v>1.6812977099236641</v>
      </c>
      <c r="C268" s="7" t="s">
        <v>80</v>
      </c>
      <c r="D268" s="7" t="s">
        <v>81</v>
      </c>
      <c r="E268" s="6">
        <v>3</v>
      </c>
      <c r="F268" s="6" t="s">
        <v>104</v>
      </c>
      <c r="G268" s="6" t="s">
        <v>104</v>
      </c>
      <c r="H268" s="6" t="s">
        <v>105</v>
      </c>
      <c r="I268" s="7"/>
      <c r="J268" s="7" t="s">
        <v>90</v>
      </c>
    </row>
    <row r="269" ht="15" customHeight="1">
      <c r="A269" s="9">
        <v>46044</v>
      </c>
      <c r="B269" s="13">
        <v>1.9808795411089866</v>
      </c>
      <c r="C269" s="7" t="s">
        <v>80</v>
      </c>
      <c r="D269" s="7" t="s">
        <v>81</v>
      </c>
      <c r="E269" s="6">
        <v>3</v>
      </c>
      <c r="F269" s="6" t="s">
        <v>104</v>
      </c>
      <c r="G269" s="6" t="s">
        <v>104</v>
      </c>
      <c r="H269" s="6" t="s">
        <v>105</v>
      </c>
      <c r="I269" s="7"/>
      <c r="J269" s="7" t="s">
        <v>90</v>
      </c>
    </row>
    <row r="270" ht="15" customHeight="1">
      <c r="A270" s="9">
        <v>46051</v>
      </c>
      <c r="B270" s="13">
        <v>2.0321199143468949</v>
      </c>
      <c r="C270" s="7" t="s">
        <v>80</v>
      </c>
      <c r="D270" s="7" t="s">
        <v>81</v>
      </c>
      <c r="E270" s="6">
        <v>3</v>
      </c>
      <c r="F270" s="6" t="s">
        <v>104</v>
      </c>
      <c r="G270" s="6" t="s">
        <v>104</v>
      </c>
      <c r="H270" s="6" t="s">
        <v>105</v>
      </c>
      <c r="I270" s="7"/>
      <c r="J270" s="7" t="s">
        <v>90</v>
      </c>
    </row>
    <row r="271" ht="15" customHeight="1">
      <c r="A271" s="9">
        <v>46058</v>
      </c>
      <c r="B271" s="13">
        <v>2.8915333333333328</v>
      </c>
      <c r="C271" s="7" t="s">
        <v>80</v>
      </c>
      <c r="D271" s="7" t="s">
        <v>81</v>
      </c>
      <c r="E271" s="6">
        <v>3</v>
      </c>
      <c r="F271" s="6" t="s">
        <v>104</v>
      </c>
      <c r="G271" s="6" t="s">
        <v>104</v>
      </c>
      <c r="H271" s="6" t="s">
        <v>105</v>
      </c>
      <c r="I271" s="7"/>
      <c r="J271" s="7" t="s">
        <v>90</v>
      </c>
    </row>
    <row r="272" ht="15" customHeight="1">
      <c r="A272" s="9">
        <v>46065</v>
      </c>
      <c r="B272" s="13">
        <v>3.0432735426008968</v>
      </c>
      <c r="C272" s="7" t="s">
        <v>80</v>
      </c>
      <c r="D272" s="7" t="s">
        <v>81</v>
      </c>
      <c r="E272" s="6">
        <v>3</v>
      </c>
      <c r="F272" s="6" t="s">
        <v>104</v>
      </c>
      <c r="G272" s="6" t="s">
        <v>104</v>
      </c>
      <c r="H272" s="6" t="s">
        <v>105</v>
      </c>
      <c r="I272" s="7"/>
      <c r="J272" s="7" t="s">
        <v>90</v>
      </c>
    </row>
    <row r="273" ht="15" customHeight="1">
      <c r="A273" s="9">
        <v>46072</v>
      </c>
      <c r="B273" s="13">
        <v>2.8772069825436408</v>
      </c>
      <c r="C273" s="7" t="s">
        <v>80</v>
      </c>
      <c r="D273" s="7" t="s">
        <v>81</v>
      </c>
      <c r="E273" s="6">
        <v>3</v>
      </c>
      <c r="F273" s="6" t="s">
        <v>104</v>
      </c>
      <c r="G273" s="6" t="s">
        <v>104</v>
      </c>
      <c r="H273" s="6" t="s">
        <v>105</v>
      </c>
      <c r="I273" s="7"/>
      <c r="J273" s="7" t="s">
        <v>90</v>
      </c>
    </row>
    <row r="274" ht="15" customHeight="1">
      <c r="A274" s="9">
        <v>46079</v>
      </c>
      <c r="B274" s="13">
        <v>2.3885350318471339</v>
      </c>
      <c r="C274" s="7" t="s">
        <v>80</v>
      </c>
      <c r="D274" s="7" t="s">
        <v>81</v>
      </c>
      <c r="E274" s="6">
        <v>3</v>
      </c>
      <c r="F274" s="6" t="s">
        <v>104</v>
      </c>
      <c r="G274" s="6" t="s">
        <v>104</v>
      </c>
      <c r="H274" s="6" t="s">
        <v>105</v>
      </c>
      <c r="I274" s="7"/>
      <c r="J274" s="7" t="s">
        <v>90</v>
      </c>
    </row>
    <row r="275" ht="15" customHeight="1">
      <c r="A275" s="9">
        <v>46086</v>
      </c>
      <c r="B275" s="13">
        <v>1.9196891191709844</v>
      </c>
      <c r="C275" s="7" t="s">
        <v>80</v>
      </c>
      <c r="D275" s="7" t="s">
        <v>81</v>
      </c>
      <c r="E275" s="6">
        <v>3</v>
      </c>
      <c r="F275" s="6" t="s">
        <v>104</v>
      </c>
      <c r="G275" s="6" t="s">
        <v>104</v>
      </c>
      <c r="H275" s="6" t="s">
        <v>105</v>
      </c>
      <c r="I275" s="7"/>
      <c r="J275" s="7" t="s">
        <v>90</v>
      </c>
    </row>
    <row r="276" ht="15" customHeight="1">
      <c r="A276" s="9">
        <v>46093</v>
      </c>
      <c r="B276" s="13">
        <v>2.481012658227848</v>
      </c>
      <c r="C276" s="7" t="s">
        <v>80</v>
      </c>
      <c r="D276" s="7" t="s">
        <v>81</v>
      </c>
      <c r="E276" s="6">
        <v>3</v>
      </c>
      <c r="F276" s="6" t="s">
        <v>104</v>
      </c>
      <c r="G276" s="6" t="s">
        <v>104</v>
      </c>
      <c r="H276" s="6" t="s">
        <v>105</v>
      </c>
      <c r="I276" s="7"/>
      <c r="J276" s="7" t="s">
        <v>90</v>
      </c>
    </row>
    <row r="277" ht="15" customHeight="1">
      <c r="A277" s="9">
        <v>46100</v>
      </c>
      <c r="B277" s="13">
        <v>1.7671232876712328</v>
      </c>
      <c r="C277" s="7" t="s">
        <v>80</v>
      </c>
      <c r="D277" s="7" t="s">
        <v>81</v>
      </c>
      <c r="E277" s="6">
        <v>3</v>
      </c>
      <c r="F277" s="6" t="s">
        <v>104</v>
      </c>
      <c r="G277" s="6" t="s">
        <v>104</v>
      </c>
      <c r="H277" s="6" t="s">
        <v>105</v>
      </c>
      <c r="I277" s="7"/>
      <c r="J277" s="7" t="s">
        <v>90</v>
      </c>
    </row>
    <row r="278" ht="15" customHeight="1">
      <c r="A278" s="9">
        <v>46107</v>
      </c>
      <c r="B278" s="13">
        <v>2.2077922077922079</v>
      </c>
      <c r="C278" s="7" t="s">
        <v>80</v>
      </c>
      <c r="D278" s="7" t="s">
        <v>81</v>
      </c>
      <c r="E278" s="6">
        <v>3</v>
      </c>
      <c r="F278" s="6" t="s">
        <v>104</v>
      </c>
      <c r="G278" s="6" t="s">
        <v>104</v>
      </c>
      <c r="H278" s="6" t="s">
        <v>105</v>
      </c>
      <c r="I278" s="7"/>
      <c r="J278" s="7" t="s">
        <v>90</v>
      </c>
    </row>
    <row r="279" ht="15" customHeight="1">
      <c r="A279" s="9">
        <v>46114</v>
      </c>
      <c r="B279" s="13">
        <v>1.9816272965879265</v>
      </c>
      <c r="C279" s="7" t="s">
        <v>80</v>
      </c>
      <c r="D279" s="7" t="s">
        <v>81</v>
      </c>
      <c r="E279" s="6">
        <v>3</v>
      </c>
      <c r="F279" s="6" t="s">
        <v>104</v>
      </c>
      <c r="G279" s="6" t="s">
        <v>104</v>
      </c>
      <c r="H279" s="6" t="s">
        <v>105</v>
      </c>
      <c r="I279" s="7"/>
      <c r="J279" s="7" t="s">
        <v>90</v>
      </c>
    </row>
    <row r="280" ht="15" customHeight="1">
      <c r="A280" s="9">
        <v>46121</v>
      </c>
      <c r="B280" s="13">
        <v>2.10803324099723</v>
      </c>
      <c r="C280" s="7" t="s">
        <v>80</v>
      </c>
      <c r="D280" s="7" t="s">
        <v>81</v>
      </c>
      <c r="E280" s="6">
        <v>3</v>
      </c>
      <c r="F280" s="6" t="s">
        <v>104</v>
      </c>
      <c r="G280" s="6" t="s">
        <v>104</v>
      </c>
      <c r="H280" s="6" t="s">
        <v>105</v>
      </c>
      <c r="I280" s="7"/>
      <c r="J280" s="7" t="s">
        <v>90</v>
      </c>
    </row>
    <row r="281" ht="15" customHeight="1">
      <c r="A281" s="9">
        <v>45810</v>
      </c>
      <c r="B281" s="15">
        <v>31</v>
      </c>
      <c r="C281" s="16" t="s">
        <v>8</v>
      </c>
      <c r="D281" s="16" t="s">
        <v>9</v>
      </c>
      <c r="E281" s="6">
        <v>1</v>
      </c>
      <c r="F281" s="6" t="s">
        <v>103</v>
      </c>
      <c r="G281" s="6" t="s">
        <v>104</v>
      </c>
      <c r="H281" s="6" t="s">
        <v>105</v>
      </c>
      <c r="J281" s="6"/>
    </row>
    <row r="282" ht="15" customHeight="1">
      <c r="A282" s="9">
        <v>45840</v>
      </c>
      <c r="B282" s="15">
        <v>34</v>
      </c>
      <c r="C282" s="16" t="s">
        <v>8</v>
      </c>
      <c r="D282" s="16" t="s">
        <v>9</v>
      </c>
      <c r="E282" s="17">
        <v>1</v>
      </c>
      <c r="F282" s="17" t="s">
        <v>103</v>
      </c>
      <c r="G282" s="17" t="s">
        <v>104</v>
      </c>
      <c r="H282" s="17" t="s">
        <v>105</v>
      </c>
      <c r="J282" s="6"/>
    </row>
    <row r="283" ht="15" customHeight="1">
      <c r="A283" s="9">
        <v>45897</v>
      </c>
      <c r="B283" s="15">
        <v>34</v>
      </c>
      <c r="C283" s="18" t="s">
        <v>8</v>
      </c>
      <c r="D283" s="18" t="s">
        <v>9</v>
      </c>
      <c r="E283" s="6">
        <v>1</v>
      </c>
      <c r="F283" s="6" t="s">
        <v>103</v>
      </c>
      <c r="G283" s="6" t="s">
        <v>104</v>
      </c>
      <c r="H283" s="6" t="s">
        <v>105</v>
      </c>
      <c r="I283" s="6"/>
    </row>
    <row r="284" ht="15" customHeight="1">
      <c r="A284" s="9">
        <v>45904</v>
      </c>
      <c r="B284" s="15">
        <v>34</v>
      </c>
      <c r="C284" s="18" t="s">
        <v>8</v>
      </c>
      <c r="D284" s="18" t="s">
        <v>9</v>
      </c>
      <c r="E284" s="6">
        <v>1</v>
      </c>
      <c r="F284" s="6" t="s">
        <v>103</v>
      </c>
      <c r="G284" s="6" t="s">
        <v>104</v>
      </c>
      <c r="H284" s="6" t="s">
        <v>105</v>
      </c>
    </row>
    <row r="285" ht="15" customHeight="1">
      <c r="A285" s="9">
        <v>45911</v>
      </c>
      <c r="B285" s="15">
        <v>34</v>
      </c>
      <c r="C285" s="18" t="s">
        <v>8</v>
      </c>
      <c r="D285" s="18" t="s">
        <v>9</v>
      </c>
      <c r="E285" s="6">
        <v>1</v>
      </c>
      <c r="F285" s="6" t="s">
        <v>103</v>
      </c>
      <c r="G285" s="6" t="s">
        <v>104</v>
      </c>
      <c r="H285" s="6" t="s">
        <v>105</v>
      </c>
    </row>
    <row r="286" ht="15" customHeight="1">
      <c r="A286" s="9">
        <v>45918</v>
      </c>
      <c r="B286" s="15">
        <v>34</v>
      </c>
      <c r="C286" s="18" t="s">
        <v>8</v>
      </c>
      <c r="D286" s="18" t="s">
        <v>9</v>
      </c>
      <c r="E286" s="6">
        <v>1</v>
      </c>
      <c r="F286" s="6" t="s">
        <v>103</v>
      </c>
      <c r="G286" s="6" t="s">
        <v>104</v>
      </c>
      <c r="H286" s="6" t="s">
        <v>105</v>
      </c>
    </row>
    <row r="287" ht="15" customHeight="1">
      <c r="A287" s="9">
        <v>45925</v>
      </c>
      <c r="B287" s="15">
        <v>34</v>
      </c>
      <c r="C287" s="18" t="s">
        <v>8</v>
      </c>
      <c r="D287" s="18" t="s">
        <v>9</v>
      </c>
      <c r="E287" s="6">
        <v>1</v>
      </c>
      <c r="F287" s="6" t="s">
        <v>103</v>
      </c>
      <c r="G287" s="6" t="s">
        <v>104</v>
      </c>
      <c r="H287" s="6" t="s">
        <v>105</v>
      </c>
    </row>
    <row r="288" ht="15" customHeight="1">
      <c r="A288" s="9">
        <v>45932</v>
      </c>
      <c r="B288" s="15">
        <v>34</v>
      </c>
      <c r="C288" s="18" t="s">
        <v>8</v>
      </c>
      <c r="D288" s="18" t="s">
        <v>9</v>
      </c>
      <c r="E288" s="6">
        <v>1</v>
      </c>
      <c r="F288" s="6" t="s">
        <v>103</v>
      </c>
      <c r="G288" s="6" t="s">
        <v>104</v>
      </c>
      <c r="H288" s="6" t="s">
        <v>105</v>
      </c>
    </row>
    <row r="289" ht="15" customHeight="1">
      <c r="A289" s="9">
        <v>45939</v>
      </c>
      <c r="B289" s="15">
        <v>34</v>
      </c>
      <c r="C289" s="18" t="s">
        <v>8</v>
      </c>
      <c r="D289" s="18" t="s">
        <v>9</v>
      </c>
      <c r="E289" s="6">
        <v>1</v>
      </c>
      <c r="F289" s="6" t="s">
        <v>103</v>
      </c>
      <c r="G289" s="6" t="s">
        <v>104</v>
      </c>
      <c r="H289" s="6" t="s">
        <v>105</v>
      </c>
    </row>
    <row r="290" ht="15" customHeight="1">
      <c r="A290" s="9">
        <v>45946</v>
      </c>
      <c r="B290" s="15">
        <v>34</v>
      </c>
      <c r="C290" s="18" t="s">
        <v>8</v>
      </c>
      <c r="D290" s="18" t="s">
        <v>9</v>
      </c>
      <c r="E290" s="6">
        <v>1</v>
      </c>
      <c r="F290" s="6" t="s">
        <v>103</v>
      </c>
      <c r="G290" s="6" t="s">
        <v>104</v>
      </c>
      <c r="H290" s="6" t="s">
        <v>105</v>
      </c>
    </row>
    <row r="291" ht="15" customHeight="1">
      <c r="A291" s="9">
        <v>45953</v>
      </c>
      <c r="B291" s="15">
        <v>34</v>
      </c>
      <c r="C291" s="18" t="s">
        <v>8</v>
      </c>
      <c r="D291" s="18" t="s">
        <v>9</v>
      </c>
      <c r="E291" s="6">
        <v>1</v>
      </c>
      <c r="F291" s="6" t="s">
        <v>103</v>
      </c>
      <c r="G291" s="6" t="s">
        <v>104</v>
      </c>
      <c r="H291" s="6" t="s">
        <v>105</v>
      </c>
    </row>
    <row r="292" ht="15" customHeight="1">
      <c r="A292" s="9">
        <v>45960</v>
      </c>
      <c r="B292" s="15">
        <v>34</v>
      </c>
      <c r="C292" s="18" t="s">
        <v>8</v>
      </c>
      <c r="D292" s="18" t="s">
        <v>9</v>
      </c>
      <c r="E292" s="6">
        <v>1</v>
      </c>
      <c r="F292" s="6" t="s">
        <v>103</v>
      </c>
      <c r="G292" s="6" t="s">
        <v>104</v>
      </c>
      <c r="H292" s="6" t="s">
        <v>105</v>
      </c>
    </row>
    <row r="293" ht="15" customHeight="1">
      <c r="A293" s="9">
        <v>45967</v>
      </c>
      <c r="B293" s="15">
        <v>34</v>
      </c>
      <c r="C293" s="18" t="s">
        <v>8</v>
      </c>
      <c r="D293" s="18" t="s">
        <v>9</v>
      </c>
      <c r="E293" s="6">
        <v>1</v>
      </c>
      <c r="F293" s="6" t="s">
        <v>103</v>
      </c>
      <c r="G293" s="6" t="s">
        <v>104</v>
      </c>
      <c r="H293" s="6" t="s">
        <v>105</v>
      </c>
    </row>
    <row r="294" ht="15" customHeight="1">
      <c r="A294" s="9">
        <v>45974</v>
      </c>
      <c r="B294" s="15">
        <v>34</v>
      </c>
      <c r="C294" s="18" t="s">
        <v>8</v>
      </c>
      <c r="D294" s="18" t="s">
        <v>9</v>
      </c>
      <c r="E294" s="6">
        <v>1</v>
      </c>
      <c r="F294" s="6" t="s">
        <v>103</v>
      </c>
      <c r="G294" s="6" t="s">
        <v>104</v>
      </c>
      <c r="H294" s="6" t="s">
        <v>105</v>
      </c>
    </row>
    <row r="295" ht="15" customHeight="1">
      <c r="A295" s="9">
        <v>45981</v>
      </c>
      <c r="B295" s="19">
        <v>34</v>
      </c>
      <c r="C295" s="18" t="s">
        <v>8</v>
      </c>
      <c r="D295" s="18" t="s">
        <v>9</v>
      </c>
      <c r="E295" s="6">
        <v>1</v>
      </c>
      <c r="F295" s="6" t="s">
        <v>103</v>
      </c>
      <c r="G295" s="6" t="s">
        <v>104</v>
      </c>
      <c r="H295" s="6" t="s">
        <v>105</v>
      </c>
    </row>
    <row r="296" ht="15" customHeight="1">
      <c r="A296" s="9">
        <v>45988</v>
      </c>
      <c r="B296" s="19">
        <v>36</v>
      </c>
      <c r="C296" s="18" t="s">
        <v>8</v>
      </c>
      <c r="D296" s="18" t="s">
        <v>9</v>
      </c>
      <c r="E296" s="6">
        <v>1</v>
      </c>
      <c r="F296" s="6" t="s">
        <v>103</v>
      </c>
      <c r="G296" s="6" t="s">
        <v>104</v>
      </c>
      <c r="H296" s="6" t="s">
        <v>105</v>
      </c>
    </row>
    <row r="297" ht="15" customHeight="1">
      <c r="A297" s="9">
        <v>45995</v>
      </c>
      <c r="B297" s="19">
        <v>36</v>
      </c>
      <c r="C297" s="18" t="s">
        <v>8</v>
      </c>
      <c r="D297" s="18" t="s">
        <v>9</v>
      </c>
      <c r="E297" s="6">
        <v>1</v>
      </c>
      <c r="F297" s="6" t="s">
        <v>103</v>
      </c>
      <c r="G297" s="6" t="s">
        <v>104</v>
      </c>
      <c r="H297" s="6" t="s">
        <v>105</v>
      </c>
    </row>
    <row r="298" ht="15" customHeight="1">
      <c r="A298" s="9">
        <v>46002</v>
      </c>
      <c r="B298" s="19">
        <v>36</v>
      </c>
      <c r="C298" s="18" t="s">
        <v>8</v>
      </c>
      <c r="D298" s="18" t="s">
        <v>9</v>
      </c>
      <c r="E298" s="6">
        <v>1</v>
      </c>
      <c r="F298" s="6" t="s">
        <v>103</v>
      </c>
      <c r="G298" s="6" t="s">
        <v>104</v>
      </c>
      <c r="H298" s="6" t="s">
        <v>105</v>
      </c>
    </row>
    <row r="299" ht="15" customHeight="1">
      <c r="A299" s="9">
        <v>46009</v>
      </c>
      <c r="B299" s="19">
        <v>36</v>
      </c>
      <c r="C299" s="18" t="s">
        <v>8</v>
      </c>
      <c r="D299" s="18" t="s">
        <v>9</v>
      </c>
      <c r="E299" s="6">
        <v>1</v>
      </c>
      <c r="F299" s="6" t="s">
        <v>103</v>
      </c>
      <c r="G299" s="6" t="s">
        <v>104</v>
      </c>
      <c r="H299" s="6" t="s">
        <v>105</v>
      </c>
    </row>
    <row r="300" ht="15" customHeight="1">
      <c r="A300" s="9">
        <v>46016</v>
      </c>
      <c r="B300" s="19">
        <v>36</v>
      </c>
      <c r="C300" s="18" t="s">
        <v>8</v>
      </c>
      <c r="D300" s="18" t="s">
        <v>9</v>
      </c>
      <c r="E300" s="6">
        <v>1</v>
      </c>
      <c r="F300" s="6" t="s">
        <v>103</v>
      </c>
      <c r="G300" s="6" t="s">
        <v>104</v>
      </c>
      <c r="H300" s="6" t="s">
        <v>105</v>
      </c>
    </row>
    <row r="301" ht="15" customHeight="1">
      <c r="A301" s="9">
        <v>46037</v>
      </c>
      <c r="B301" s="19">
        <v>36</v>
      </c>
      <c r="C301" s="18" t="s">
        <v>8</v>
      </c>
      <c r="D301" s="18" t="s">
        <v>9</v>
      </c>
      <c r="E301" s="6">
        <v>1</v>
      </c>
      <c r="F301" s="6" t="s">
        <v>103</v>
      </c>
      <c r="G301" s="6" t="s">
        <v>104</v>
      </c>
      <c r="H301" s="6" t="s">
        <v>105</v>
      </c>
    </row>
    <row r="302" ht="15" customHeight="1">
      <c r="A302" s="9">
        <v>46044</v>
      </c>
      <c r="B302" s="19">
        <v>36</v>
      </c>
      <c r="C302" s="18" t="s">
        <v>8</v>
      </c>
      <c r="D302" s="18" t="s">
        <v>9</v>
      </c>
      <c r="E302" s="6">
        <v>1</v>
      </c>
      <c r="F302" s="6" t="s">
        <v>103</v>
      </c>
      <c r="G302" s="6" t="s">
        <v>104</v>
      </c>
      <c r="H302" s="6" t="s">
        <v>105</v>
      </c>
    </row>
    <row r="303" ht="15" customHeight="1">
      <c r="A303" s="9">
        <v>46051</v>
      </c>
      <c r="B303" s="19">
        <v>36</v>
      </c>
      <c r="C303" s="18" t="s">
        <v>8</v>
      </c>
      <c r="D303" s="18" t="s">
        <v>9</v>
      </c>
      <c r="E303" s="6">
        <v>1</v>
      </c>
      <c r="F303" s="6" t="s">
        <v>103</v>
      </c>
      <c r="G303" s="6" t="s">
        <v>104</v>
      </c>
      <c r="H303" s="6" t="s">
        <v>105</v>
      </c>
    </row>
    <row r="304" ht="15" customHeight="1">
      <c r="A304" s="9">
        <v>46058</v>
      </c>
      <c r="B304" s="19">
        <v>36</v>
      </c>
      <c r="C304" s="18" t="s">
        <v>8</v>
      </c>
      <c r="D304" s="18" t="s">
        <v>9</v>
      </c>
      <c r="E304" s="6">
        <v>1</v>
      </c>
      <c r="F304" s="6" t="s">
        <v>103</v>
      </c>
      <c r="G304" s="6" t="s">
        <v>104</v>
      </c>
      <c r="H304" s="6" t="s">
        <v>105</v>
      </c>
    </row>
    <row r="305" ht="15" customHeight="1">
      <c r="A305" s="9">
        <v>46065</v>
      </c>
      <c r="B305" s="19">
        <v>36</v>
      </c>
      <c r="C305" s="18" t="s">
        <v>8</v>
      </c>
      <c r="D305" s="18" t="s">
        <v>9</v>
      </c>
      <c r="E305" s="6">
        <v>1</v>
      </c>
      <c r="F305" s="6" t="s">
        <v>103</v>
      </c>
      <c r="G305" s="6" t="s">
        <v>104</v>
      </c>
      <c r="H305" s="6" t="s">
        <v>105</v>
      </c>
    </row>
    <row r="306" ht="15" customHeight="1">
      <c r="A306" s="9">
        <v>46072</v>
      </c>
      <c r="B306" s="19">
        <v>36</v>
      </c>
      <c r="C306" s="18" t="s">
        <v>8</v>
      </c>
      <c r="D306" s="18" t="s">
        <v>9</v>
      </c>
      <c r="E306" s="6">
        <v>1</v>
      </c>
      <c r="F306" s="6" t="s">
        <v>103</v>
      </c>
      <c r="G306" s="6" t="s">
        <v>104</v>
      </c>
      <c r="H306" s="6" t="s">
        <v>105</v>
      </c>
    </row>
    <row r="307" ht="15" customHeight="1">
      <c r="A307" s="9">
        <v>46079</v>
      </c>
      <c r="B307" s="19">
        <v>36</v>
      </c>
      <c r="C307" s="18" t="s">
        <v>8</v>
      </c>
      <c r="D307" s="18" t="s">
        <v>9</v>
      </c>
      <c r="E307" s="6">
        <v>1</v>
      </c>
      <c r="F307" s="6" t="s">
        <v>103</v>
      </c>
      <c r="G307" s="6" t="s">
        <v>104</v>
      </c>
      <c r="H307" s="6" t="s">
        <v>105</v>
      </c>
    </row>
    <row r="308" ht="15" customHeight="1">
      <c r="A308" s="9">
        <v>46086</v>
      </c>
      <c r="B308" s="19">
        <v>36</v>
      </c>
      <c r="C308" s="18" t="s">
        <v>8</v>
      </c>
      <c r="D308" s="18" t="s">
        <v>9</v>
      </c>
      <c r="E308" s="6">
        <v>1</v>
      </c>
      <c r="F308" s="6" t="s">
        <v>103</v>
      </c>
      <c r="G308" s="6" t="s">
        <v>104</v>
      </c>
      <c r="H308" s="6" t="s">
        <v>105</v>
      </c>
    </row>
    <row r="309" ht="15" customHeight="1">
      <c r="A309" s="9">
        <v>46093</v>
      </c>
      <c r="B309" s="19">
        <v>36</v>
      </c>
      <c r="C309" s="18" t="s">
        <v>8</v>
      </c>
      <c r="D309" s="18" t="s">
        <v>9</v>
      </c>
      <c r="E309" s="6">
        <v>1</v>
      </c>
      <c r="F309" s="6" t="s">
        <v>103</v>
      </c>
      <c r="G309" s="6" t="s">
        <v>104</v>
      </c>
      <c r="H309" s="6" t="s">
        <v>105</v>
      </c>
    </row>
    <row r="310" ht="15" customHeight="1">
      <c r="A310" s="9">
        <v>46100</v>
      </c>
      <c r="B310" s="19">
        <v>36</v>
      </c>
      <c r="C310" s="18" t="s">
        <v>8</v>
      </c>
      <c r="D310" s="18" t="s">
        <v>9</v>
      </c>
      <c r="E310" s="6">
        <v>1</v>
      </c>
      <c r="F310" s="6" t="s">
        <v>103</v>
      </c>
      <c r="G310" s="6" t="s">
        <v>104</v>
      </c>
      <c r="H310" s="6" t="s">
        <v>105</v>
      </c>
    </row>
    <row r="311" ht="15" customHeight="1">
      <c r="A311" s="9">
        <v>46107</v>
      </c>
      <c r="B311" s="19">
        <v>36</v>
      </c>
      <c r="C311" s="18" t="s">
        <v>8</v>
      </c>
      <c r="D311" s="18" t="s">
        <v>9</v>
      </c>
      <c r="E311" s="6">
        <v>1</v>
      </c>
      <c r="F311" s="6" t="s">
        <v>103</v>
      </c>
      <c r="G311" s="6" t="s">
        <v>104</v>
      </c>
      <c r="H311" s="6" t="s">
        <v>105</v>
      </c>
    </row>
    <row r="312" ht="15" customHeight="1">
      <c r="A312" s="9">
        <v>46114</v>
      </c>
      <c r="B312" s="19">
        <v>36</v>
      </c>
      <c r="C312" s="18" t="s">
        <v>8</v>
      </c>
      <c r="D312" s="18" t="s">
        <v>9</v>
      </c>
      <c r="E312" s="6">
        <v>1</v>
      </c>
      <c r="F312" s="6" t="s">
        <v>103</v>
      </c>
      <c r="G312" s="6" t="s">
        <v>104</v>
      </c>
      <c r="H312" s="6" t="s">
        <v>105</v>
      </c>
    </row>
    <row r="313" ht="15" customHeight="1">
      <c r="A313" s="9">
        <v>46121</v>
      </c>
      <c r="B313" s="19">
        <v>36</v>
      </c>
      <c r="C313" s="18" t="s">
        <v>8</v>
      </c>
      <c r="D313" s="18" t="s">
        <v>9</v>
      </c>
      <c r="E313" s="6">
        <v>1</v>
      </c>
      <c r="F313" s="6" t="s">
        <v>103</v>
      </c>
      <c r="G313" s="6" t="s">
        <v>104</v>
      </c>
      <c r="H313" s="6" t="s">
        <v>105</v>
      </c>
    </row>
    <row r="314">
      <c r="A314" s="9">
        <v>45995</v>
      </c>
      <c r="B314" s="6">
        <v>-1</v>
      </c>
      <c r="C314" s="20" t="s">
        <v>10</v>
      </c>
      <c r="D314" s="20" t="s">
        <v>11</v>
      </c>
      <c r="E314" s="6">
        <v>1</v>
      </c>
      <c r="F314" s="6" t="s">
        <v>103</v>
      </c>
      <c r="G314" s="6" t="s">
        <v>104</v>
      </c>
      <c r="H314" s="6" t="s">
        <v>105</v>
      </c>
      <c r="J314" s="20" t="s">
        <v>109</v>
      </c>
    </row>
    <row r="315">
      <c r="A315" s="9">
        <v>45911</v>
      </c>
      <c r="B315" s="6">
        <v>-1</v>
      </c>
      <c r="C315" s="20" t="s">
        <v>10</v>
      </c>
      <c r="D315" s="20" t="s">
        <v>11</v>
      </c>
      <c r="E315" s="6">
        <v>1</v>
      </c>
      <c r="F315" s="6" t="s">
        <v>103</v>
      </c>
      <c r="G315" s="6" t="s">
        <v>104</v>
      </c>
      <c r="H315" s="6" t="s">
        <v>105</v>
      </c>
      <c r="I315" s="7"/>
      <c r="J315" s="21" t="s">
        <v>110</v>
      </c>
    </row>
    <row r="316">
      <c r="A316" s="22">
        <v>45925</v>
      </c>
      <c r="B316" s="6">
        <v>-1</v>
      </c>
      <c r="C316" s="20" t="s">
        <v>10</v>
      </c>
      <c r="D316" s="20" t="s">
        <v>11</v>
      </c>
      <c r="E316" s="6">
        <v>1</v>
      </c>
      <c r="F316" s="6" t="s">
        <v>103</v>
      </c>
      <c r="G316" s="6" t="s">
        <v>104</v>
      </c>
      <c r="H316" s="6" t="s">
        <v>105</v>
      </c>
      <c r="J316" s="21" t="s">
        <v>111</v>
      </c>
    </row>
    <row r="317">
      <c r="A317" s="22">
        <v>45925</v>
      </c>
      <c r="B317" s="6">
        <v>-1</v>
      </c>
      <c r="C317" s="23" t="s">
        <v>12</v>
      </c>
      <c r="D317" s="23" t="s">
        <v>13</v>
      </c>
      <c r="E317" s="6">
        <v>1</v>
      </c>
      <c r="F317" s="6" t="s">
        <v>103</v>
      </c>
      <c r="G317" s="6" t="s">
        <v>104</v>
      </c>
      <c r="H317" s="6" t="s">
        <v>105</v>
      </c>
      <c r="J317" s="23" t="s">
        <v>112</v>
      </c>
    </row>
    <row r="318">
      <c r="A318" s="22">
        <v>45925</v>
      </c>
      <c r="B318" s="6">
        <v>-1</v>
      </c>
      <c r="C318" s="23" t="s">
        <v>12</v>
      </c>
      <c r="D318" s="23" t="s">
        <v>13</v>
      </c>
      <c r="E318" s="6">
        <v>1</v>
      </c>
      <c r="F318" s="6" t="s">
        <v>103</v>
      </c>
      <c r="G318" s="6" t="s">
        <v>104</v>
      </c>
      <c r="H318" s="6" t="s">
        <v>105</v>
      </c>
      <c r="J318" s="23" t="s">
        <v>113</v>
      </c>
    </row>
    <row r="319">
      <c r="A319" s="9">
        <v>46009</v>
      </c>
      <c r="B319" s="6">
        <v>-1</v>
      </c>
      <c r="C319" s="23" t="s">
        <v>12</v>
      </c>
      <c r="D319" s="23" t="s">
        <v>13</v>
      </c>
      <c r="E319" s="6">
        <v>1</v>
      </c>
      <c r="F319" s="6" t="s">
        <v>103</v>
      </c>
      <c r="G319" s="6" t="s">
        <v>104</v>
      </c>
      <c r="H319" s="6" t="s">
        <v>105</v>
      </c>
      <c r="J319" s="23" t="s">
        <v>114</v>
      </c>
    </row>
    <row r="320">
      <c r="A320" s="9">
        <v>45988</v>
      </c>
      <c r="B320" s="6">
        <v>1</v>
      </c>
      <c r="C320" s="24" t="s">
        <v>14</v>
      </c>
      <c r="D320" s="24" t="s">
        <v>15</v>
      </c>
      <c r="E320" s="6">
        <v>1</v>
      </c>
      <c r="F320" s="6" t="s">
        <v>103</v>
      </c>
      <c r="G320" s="6" t="s">
        <v>104</v>
      </c>
      <c r="H320" s="6" t="s">
        <v>105</v>
      </c>
      <c r="J320" s="24" t="s">
        <v>115</v>
      </c>
    </row>
    <row r="321">
      <c r="A321" s="9">
        <v>45988</v>
      </c>
      <c r="B321" s="6">
        <v>1</v>
      </c>
      <c r="C321" s="24" t="s">
        <v>14</v>
      </c>
      <c r="D321" s="24" t="s">
        <v>15</v>
      </c>
      <c r="E321" s="6">
        <v>1</v>
      </c>
      <c r="F321" s="6" t="s">
        <v>103</v>
      </c>
      <c r="G321" s="6" t="s">
        <v>104</v>
      </c>
      <c r="H321" s="6" t="s">
        <v>105</v>
      </c>
      <c r="J321" s="25" t="s">
        <v>116</v>
      </c>
    </row>
    <row r="322">
      <c r="A322" s="9">
        <v>46009</v>
      </c>
      <c r="B322" s="6">
        <v>-1</v>
      </c>
      <c r="C322" s="20" t="s">
        <v>10</v>
      </c>
      <c r="D322" s="20" t="s">
        <v>11</v>
      </c>
      <c r="E322" s="6">
        <v>1</v>
      </c>
      <c r="F322" s="6" t="s">
        <v>103</v>
      </c>
      <c r="G322" s="6" t="s">
        <v>104</v>
      </c>
      <c r="H322" s="6" t="s">
        <v>105</v>
      </c>
      <c r="J322" s="20" t="s">
        <v>117</v>
      </c>
    </row>
    <row r="323">
      <c r="A323" s="9">
        <v>46009</v>
      </c>
      <c r="B323" s="6">
        <v>-1</v>
      </c>
      <c r="C323" s="23" t="s">
        <v>12</v>
      </c>
      <c r="D323" s="23" t="s">
        <v>13</v>
      </c>
      <c r="E323" s="6">
        <v>1</v>
      </c>
      <c r="F323" s="6" t="s">
        <v>103</v>
      </c>
      <c r="G323" s="6" t="s">
        <v>104</v>
      </c>
      <c r="H323" s="6" t="s">
        <v>105</v>
      </c>
      <c r="J323" s="23" t="s">
        <v>118</v>
      </c>
    </row>
    <row r="324">
      <c r="A324" s="9">
        <v>45840</v>
      </c>
      <c r="B324" s="6">
        <v>1</v>
      </c>
      <c r="C324" s="24" t="s">
        <v>14</v>
      </c>
      <c r="D324" s="24" t="s">
        <v>15</v>
      </c>
      <c r="E324" s="6">
        <v>1</v>
      </c>
      <c r="F324" s="6" t="s">
        <v>103</v>
      </c>
      <c r="G324" s="6" t="s">
        <v>104</v>
      </c>
      <c r="H324" s="6" t="s">
        <v>105</v>
      </c>
      <c r="J324" s="25" t="s">
        <v>119</v>
      </c>
    </row>
    <row r="325">
      <c r="A325" s="9">
        <v>45840</v>
      </c>
      <c r="B325" s="6">
        <v>1</v>
      </c>
      <c r="C325" s="24" t="s">
        <v>14</v>
      </c>
      <c r="D325" s="24" t="s">
        <v>15</v>
      </c>
      <c r="E325" s="6">
        <v>1</v>
      </c>
      <c r="F325" s="6" t="s">
        <v>103</v>
      </c>
      <c r="G325" s="6" t="s">
        <v>104</v>
      </c>
      <c r="H325" s="6" t="s">
        <v>105</v>
      </c>
      <c r="I325" s="7"/>
      <c r="J325" s="25" t="s">
        <v>120</v>
      </c>
    </row>
    <row r="326">
      <c r="A326" s="9">
        <v>46128</v>
      </c>
      <c r="B326" s="6">
        <v>1</v>
      </c>
      <c r="C326" s="24" t="s">
        <v>14</v>
      </c>
      <c r="D326" s="24" t="s">
        <v>15</v>
      </c>
      <c r="E326" s="6">
        <v>1</v>
      </c>
      <c r="F326" s="6" t="s">
        <v>103</v>
      </c>
      <c r="G326" s="6" t="s">
        <v>104</v>
      </c>
      <c r="H326" s="6" t="s">
        <v>105</v>
      </c>
      <c r="J326" s="24" t="s">
        <v>121</v>
      </c>
    </row>
    <row r="327">
      <c r="A327" s="22">
        <v>46128</v>
      </c>
      <c r="B327" s="6">
        <v>1</v>
      </c>
      <c r="C327" s="24" t="s">
        <v>14</v>
      </c>
      <c r="D327" s="24" t="s">
        <v>15</v>
      </c>
      <c r="E327" s="6">
        <v>1</v>
      </c>
      <c r="F327" s="6" t="s">
        <v>103</v>
      </c>
      <c r="G327" s="6" t="s">
        <v>104</v>
      </c>
      <c r="H327" s="6" t="s">
        <v>105</v>
      </c>
      <c r="J327" s="24" t="s">
        <v>122</v>
      </c>
    </row>
    <row r="328">
      <c r="A328" s="22">
        <v>46128</v>
      </c>
      <c r="B328" s="6">
        <v>1</v>
      </c>
      <c r="C328" s="24" t="s">
        <v>14</v>
      </c>
      <c r="D328" s="24" t="s">
        <v>15</v>
      </c>
      <c r="E328" s="6">
        <v>1</v>
      </c>
      <c r="F328" s="6" t="s">
        <v>103</v>
      </c>
      <c r="G328" s="6" t="s">
        <v>104</v>
      </c>
      <c r="H328" s="6" t="s">
        <v>105</v>
      </c>
      <c r="J328" s="24" t="s">
        <v>123</v>
      </c>
    </row>
    <row r="329">
      <c r="A329" s="22">
        <v>46128</v>
      </c>
      <c r="B329" s="6">
        <v>1</v>
      </c>
      <c r="C329" s="24" t="s">
        <v>14</v>
      </c>
      <c r="D329" s="24" t="s">
        <v>15</v>
      </c>
      <c r="E329" s="6">
        <v>1</v>
      </c>
      <c r="F329" s="6" t="s">
        <v>103</v>
      </c>
      <c r="G329" s="6" t="s">
        <v>104</v>
      </c>
      <c r="H329" s="6" t="s">
        <v>105</v>
      </c>
      <c r="J329" s="24" t="s">
        <v>124</v>
      </c>
    </row>
    <row r="330">
      <c r="A330" s="9">
        <v>46009</v>
      </c>
      <c r="B330" s="6">
        <v>-1</v>
      </c>
      <c r="C330" s="23" t="s">
        <v>12</v>
      </c>
      <c r="D330" s="23" t="s">
        <v>13</v>
      </c>
      <c r="E330" s="6">
        <v>1</v>
      </c>
      <c r="F330" s="6" t="s">
        <v>103</v>
      </c>
      <c r="G330" s="6" t="s">
        <v>104</v>
      </c>
      <c r="H330" s="6" t="s">
        <v>105</v>
      </c>
      <c r="J330" s="26" t="s">
        <v>125</v>
      </c>
    </row>
    <row r="331">
      <c r="A331" s="9">
        <v>45960</v>
      </c>
      <c r="B331" s="6">
        <v>-1</v>
      </c>
      <c r="C331" s="23" t="s">
        <v>12</v>
      </c>
      <c r="D331" s="23" t="s">
        <v>13</v>
      </c>
      <c r="E331" s="6">
        <v>1</v>
      </c>
      <c r="F331" s="6" t="s">
        <v>103</v>
      </c>
      <c r="G331" s="6" t="s">
        <v>104</v>
      </c>
      <c r="H331" s="6" t="s">
        <v>105</v>
      </c>
      <c r="J331" s="26" t="s">
        <v>126</v>
      </c>
    </row>
    <row r="332">
      <c r="A332" s="9">
        <v>45960</v>
      </c>
      <c r="B332" s="6">
        <v>-1</v>
      </c>
      <c r="C332" s="23" t="s">
        <v>12</v>
      </c>
      <c r="D332" s="23" t="s">
        <v>13</v>
      </c>
      <c r="E332" s="6">
        <v>1</v>
      </c>
      <c r="F332" s="6" t="s">
        <v>103</v>
      </c>
      <c r="G332" s="6" t="s">
        <v>104</v>
      </c>
      <c r="H332" s="6" t="s">
        <v>105</v>
      </c>
      <c r="J332" s="26" t="s">
        <v>127</v>
      </c>
    </row>
    <row r="333">
      <c r="A333" s="9">
        <v>45925</v>
      </c>
      <c r="B333" s="6">
        <v>-1</v>
      </c>
      <c r="C333" s="23" t="s">
        <v>12</v>
      </c>
      <c r="D333" s="23" t="s">
        <v>13</v>
      </c>
      <c r="E333" s="6">
        <v>1</v>
      </c>
      <c r="F333" s="6" t="s">
        <v>103</v>
      </c>
      <c r="G333" s="6" t="s">
        <v>104</v>
      </c>
      <c r="H333" s="6" t="s">
        <v>105</v>
      </c>
      <c r="J333" s="26" t="s">
        <v>128</v>
      </c>
    </row>
    <row r="334">
      <c r="A334" s="9">
        <v>46009</v>
      </c>
      <c r="B334" s="6">
        <v>-1</v>
      </c>
      <c r="C334" s="23" t="s">
        <v>12</v>
      </c>
      <c r="D334" s="23" t="s">
        <v>13</v>
      </c>
      <c r="E334" s="6">
        <v>1</v>
      </c>
      <c r="F334" s="6" t="s">
        <v>103</v>
      </c>
      <c r="G334" s="6" t="s">
        <v>104</v>
      </c>
      <c r="H334" s="6" t="s">
        <v>105</v>
      </c>
      <c r="J334" s="23" t="s">
        <v>129</v>
      </c>
    </row>
    <row r="335">
      <c r="A335" s="9">
        <v>46009</v>
      </c>
      <c r="B335" s="6">
        <v>-1</v>
      </c>
      <c r="C335" s="23" t="s">
        <v>12</v>
      </c>
      <c r="D335" s="23" t="s">
        <v>13</v>
      </c>
      <c r="E335" s="6">
        <v>1</v>
      </c>
      <c r="F335" s="6" t="s">
        <v>103</v>
      </c>
      <c r="G335" s="6" t="s">
        <v>104</v>
      </c>
      <c r="H335" s="6" t="s">
        <v>105</v>
      </c>
      <c r="J335" s="26" t="s">
        <v>130</v>
      </c>
    </row>
    <row r="336">
      <c r="A336" s="22">
        <v>45925</v>
      </c>
      <c r="B336" s="6">
        <v>-1</v>
      </c>
      <c r="C336" s="23" t="s">
        <v>12</v>
      </c>
      <c r="D336" s="23" t="s">
        <v>13</v>
      </c>
      <c r="E336" s="6">
        <v>1</v>
      </c>
      <c r="F336" s="6" t="s">
        <v>103</v>
      </c>
      <c r="G336" s="6" t="s">
        <v>104</v>
      </c>
      <c r="H336" s="6" t="s">
        <v>105</v>
      </c>
      <c r="J336" s="26" t="s">
        <v>131</v>
      </c>
    </row>
    <row r="337">
      <c r="A337" s="9">
        <v>45925</v>
      </c>
      <c r="B337" s="6">
        <v>-1</v>
      </c>
      <c r="C337" s="23" t="s">
        <v>12</v>
      </c>
      <c r="D337" s="23" t="s">
        <v>13</v>
      </c>
      <c r="E337" s="6">
        <v>1</v>
      </c>
      <c r="F337" s="6" t="s">
        <v>103</v>
      </c>
      <c r="G337" s="6" t="s">
        <v>104</v>
      </c>
      <c r="H337" s="6" t="s">
        <v>105</v>
      </c>
      <c r="J337" s="26" t="s">
        <v>132</v>
      </c>
    </row>
    <row r="338">
      <c r="A338" s="9">
        <v>45911</v>
      </c>
      <c r="B338" s="6">
        <v>-1</v>
      </c>
      <c r="C338" s="20" t="s">
        <v>10</v>
      </c>
      <c r="D338" s="20" t="s">
        <v>11</v>
      </c>
      <c r="E338" s="6">
        <v>1</v>
      </c>
      <c r="F338" s="6" t="s">
        <v>103</v>
      </c>
      <c r="G338" s="6" t="s">
        <v>104</v>
      </c>
      <c r="H338" s="6" t="s">
        <v>105</v>
      </c>
      <c r="J338" s="5" t="s">
        <v>133</v>
      </c>
    </row>
    <row r="339">
      <c r="A339" s="9">
        <v>45840</v>
      </c>
      <c r="B339" s="6">
        <v>1</v>
      </c>
      <c r="C339" s="24" t="s">
        <v>14</v>
      </c>
      <c r="D339" s="24" t="s">
        <v>15</v>
      </c>
      <c r="E339" s="6">
        <v>1</v>
      </c>
      <c r="F339" s="6" t="s">
        <v>103</v>
      </c>
      <c r="G339" s="6" t="s">
        <v>104</v>
      </c>
      <c r="H339" s="6" t="s">
        <v>105</v>
      </c>
      <c r="J339" s="24" t="s">
        <v>90</v>
      </c>
    </row>
    <row r="340">
      <c r="A340" s="9">
        <v>46114</v>
      </c>
      <c r="B340" s="6">
        <v>2490</v>
      </c>
      <c r="C340" s="7" t="s">
        <v>36</v>
      </c>
      <c r="D340" s="7" t="s">
        <v>37</v>
      </c>
      <c r="E340" s="6">
        <v>3</v>
      </c>
      <c r="F340" s="6" t="s">
        <v>106</v>
      </c>
      <c r="G340" s="6" t="s">
        <v>104</v>
      </c>
      <c r="H340" s="6" t="s">
        <v>105</v>
      </c>
      <c r="J340" t="s">
        <v>90</v>
      </c>
    </row>
    <row r="341">
      <c r="A341" s="22">
        <v>46114</v>
      </c>
      <c r="B341" s="6">
        <v>2490</v>
      </c>
      <c r="C341" s="7" t="s">
        <v>38</v>
      </c>
      <c r="D341" s="7" t="s">
        <v>39</v>
      </c>
      <c r="E341" s="6">
        <v>3</v>
      </c>
      <c r="F341" s="6" t="s">
        <v>106</v>
      </c>
      <c r="G341" s="6" t="s">
        <v>104</v>
      </c>
      <c r="H341" s="6" t="s">
        <v>105</v>
      </c>
      <c r="J341" t="s">
        <v>90</v>
      </c>
    </row>
    <row r="342">
      <c r="A342" s="22">
        <v>46114</v>
      </c>
      <c r="B342" s="13">
        <f>B341/B340*100</f>
        <v>100</v>
      </c>
      <c r="C342" s="7" t="s">
        <v>40</v>
      </c>
      <c r="D342" s="7" t="s">
        <v>41</v>
      </c>
      <c r="E342" s="6">
        <v>3</v>
      </c>
      <c r="F342" s="6" t="s">
        <v>108</v>
      </c>
      <c r="G342" s="6" t="s">
        <v>104</v>
      </c>
      <c r="H342" s="6" t="s">
        <v>105</v>
      </c>
      <c r="J342" t="s">
        <v>90</v>
      </c>
    </row>
    <row r="343">
      <c r="A343" s="22">
        <v>46114</v>
      </c>
      <c r="B343" s="13">
        <f>B341/B$340*100</f>
        <v>100</v>
      </c>
      <c r="C343" s="7" t="s">
        <v>42</v>
      </c>
      <c r="D343" s="7" t="s">
        <v>43</v>
      </c>
      <c r="E343" s="6">
        <v>3</v>
      </c>
      <c r="F343" s="6" t="s">
        <v>108</v>
      </c>
      <c r="G343" s="6" t="s">
        <v>104</v>
      </c>
      <c r="H343" s="6" t="s">
        <v>105</v>
      </c>
      <c r="J343" t="s">
        <v>90</v>
      </c>
    </row>
    <row r="344">
      <c r="A344" s="22">
        <v>46114</v>
      </c>
      <c r="B344" s="6">
        <v>1800</v>
      </c>
      <c r="C344" s="7" t="s">
        <v>44</v>
      </c>
      <c r="D344" t="s">
        <v>45</v>
      </c>
      <c r="E344" s="6">
        <v>3</v>
      </c>
      <c r="F344" s="6" t="s">
        <v>106</v>
      </c>
      <c r="G344" s="6" t="s">
        <v>104</v>
      </c>
      <c r="H344" s="6" t="s">
        <v>105</v>
      </c>
      <c r="J344" t="s">
        <v>90</v>
      </c>
    </row>
    <row r="345">
      <c r="A345" s="22">
        <v>46114</v>
      </c>
      <c r="B345" s="13">
        <f>B344/B341*100</f>
        <v>72.289156626506028</v>
      </c>
      <c r="C345" s="7" t="s">
        <v>46</v>
      </c>
      <c r="D345" s="7" t="s">
        <v>47</v>
      </c>
      <c r="E345" s="6">
        <v>3</v>
      </c>
      <c r="F345" s="6" t="s">
        <v>108</v>
      </c>
      <c r="G345" s="6" t="s">
        <v>104</v>
      </c>
      <c r="H345" s="6" t="s">
        <v>105</v>
      </c>
      <c r="J345" t="s">
        <v>90</v>
      </c>
    </row>
    <row r="346">
      <c r="A346" s="22">
        <v>46114</v>
      </c>
      <c r="B346" s="13">
        <f>B344/B$340*100</f>
        <v>72.289156626506028</v>
      </c>
      <c r="C346" s="7" t="s">
        <v>48</v>
      </c>
      <c r="D346" s="7" t="s">
        <v>49</v>
      </c>
      <c r="E346" s="6">
        <v>3</v>
      </c>
      <c r="F346" s="6" t="s">
        <v>108</v>
      </c>
      <c r="G346" s="6" t="s">
        <v>104</v>
      </c>
      <c r="H346" s="6" t="s">
        <v>105</v>
      </c>
      <c r="J346" t="s">
        <v>90</v>
      </c>
    </row>
    <row r="347">
      <c r="A347" s="22">
        <v>46114</v>
      </c>
      <c r="B347" s="6">
        <v>800</v>
      </c>
      <c r="C347" s="7" t="s">
        <v>50</v>
      </c>
      <c r="D347" t="s">
        <v>51</v>
      </c>
      <c r="E347" s="6">
        <v>3</v>
      </c>
      <c r="F347" s="6" t="s">
        <v>106</v>
      </c>
      <c r="G347" s="6" t="s">
        <v>104</v>
      </c>
      <c r="H347" s="6" t="s">
        <v>105</v>
      </c>
      <c r="J347" t="s">
        <v>90</v>
      </c>
    </row>
    <row r="348">
      <c r="A348" s="22">
        <v>46114</v>
      </c>
      <c r="B348" s="13">
        <f>B347/B344*100</f>
        <v>44.444444444444443</v>
      </c>
      <c r="C348" s="7" t="s">
        <v>52</v>
      </c>
      <c r="D348" s="7" t="s">
        <v>53</v>
      </c>
      <c r="E348" s="6">
        <v>3</v>
      </c>
      <c r="F348" s="6" t="s">
        <v>108</v>
      </c>
      <c r="G348" s="6" t="s">
        <v>104</v>
      </c>
      <c r="H348" s="6" t="s">
        <v>105</v>
      </c>
      <c r="J348" t="s">
        <v>90</v>
      </c>
    </row>
    <row r="349">
      <c r="A349" s="22">
        <v>46114</v>
      </c>
      <c r="B349" s="13">
        <f>B347/B$340*100</f>
        <v>32.128514056224901</v>
      </c>
      <c r="C349" s="7" t="s">
        <v>54</v>
      </c>
      <c r="D349" s="7" t="s">
        <v>55</v>
      </c>
      <c r="E349" s="6">
        <v>3</v>
      </c>
      <c r="F349" s="6" t="s">
        <v>108</v>
      </c>
      <c r="G349" s="6" t="s">
        <v>104</v>
      </c>
      <c r="H349" s="6" t="s">
        <v>105</v>
      </c>
      <c r="J349" t="s">
        <v>90</v>
      </c>
    </row>
    <row r="350">
      <c r="A350" s="22">
        <v>46114</v>
      </c>
      <c r="B350" s="6">
        <v>700</v>
      </c>
      <c r="C350" s="7" t="s">
        <v>56</v>
      </c>
      <c r="D350" s="7" t="s">
        <v>57</v>
      </c>
      <c r="E350" s="6">
        <v>3</v>
      </c>
      <c r="F350" s="6" t="s">
        <v>106</v>
      </c>
      <c r="G350" s="6" t="s">
        <v>104</v>
      </c>
      <c r="H350" s="6" t="s">
        <v>105</v>
      </c>
      <c r="J350" t="s">
        <v>90</v>
      </c>
    </row>
    <row r="351">
      <c r="A351" s="22">
        <v>46114</v>
      </c>
      <c r="B351" s="13">
        <f>B350/B347*100</f>
        <v>87.5</v>
      </c>
      <c r="C351" s="7" t="s">
        <v>58</v>
      </c>
      <c r="D351" s="7" t="s">
        <v>59</v>
      </c>
      <c r="E351" s="6">
        <v>3</v>
      </c>
      <c r="F351" s="6" t="s">
        <v>108</v>
      </c>
      <c r="G351" s="6" t="s">
        <v>104</v>
      </c>
      <c r="H351" s="6" t="s">
        <v>105</v>
      </c>
      <c r="J351" t="s">
        <v>90</v>
      </c>
    </row>
    <row r="352">
      <c r="A352" s="22">
        <v>46114</v>
      </c>
      <c r="B352" s="13">
        <f>B350/B$340*100</f>
        <v>28.112449799196789</v>
      </c>
      <c r="C352" s="7" t="s">
        <v>60</v>
      </c>
      <c r="D352" s="7" t="s">
        <v>61</v>
      </c>
      <c r="E352" s="6">
        <v>3</v>
      </c>
      <c r="F352" s="6" t="s">
        <v>108</v>
      </c>
      <c r="G352" s="6" t="s">
        <v>104</v>
      </c>
      <c r="H352" s="6" t="s">
        <v>105</v>
      </c>
      <c r="J352" t="s">
        <v>90</v>
      </c>
    </row>
    <row r="353">
      <c r="A353" s="22">
        <v>46114</v>
      </c>
      <c r="B353" s="6">
        <v>600</v>
      </c>
      <c r="C353" s="7" t="s">
        <v>62</v>
      </c>
      <c r="D353" s="7" t="s">
        <v>63</v>
      </c>
      <c r="E353" s="6">
        <v>3</v>
      </c>
      <c r="F353" s="6" t="s">
        <v>106</v>
      </c>
      <c r="G353" s="6" t="s">
        <v>104</v>
      </c>
      <c r="H353" s="6" t="s">
        <v>105</v>
      </c>
      <c r="J353" t="s">
        <v>90</v>
      </c>
    </row>
    <row r="354">
      <c r="A354" s="22">
        <v>46114</v>
      </c>
      <c r="B354" s="13">
        <f>B353/B350*100</f>
        <v>85.714285714285708</v>
      </c>
      <c r="C354" s="7" t="s">
        <v>64</v>
      </c>
      <c r="D354" s="7" t="s">
        <v>65</v>
      </c>
      <c r="E354" s="6">
        <v>3</v>
      </c>
      <c r="F354" s="6" t="s">
        <v>108</v>
      </c>
      <c r="G354" s="6" t="s">
        <v>104</v>
      </c>
      <c r="H354" s="6" t="s">
        <v>105</v>
      </c>
      <c r="J354" t="s">
        <v>90</v>
      </c>
    </row>
    <row r="355">
      <c r="A355" s="22">
        <v>46114</v>
      </c>
      <c r="B355" s="13">
        <f>B353/B$340*100</f>
        <v>24.096385542168676</v>
      </c>
      <c r="C355" s="7" t="s">
        <v>66</v>
      </c>
      <c r="D355" s="7" t="s">
        <v>67</v>
      </c>
      <c r="E355" s="6">
        <v>3</v>
      </c>
      <c r="F355" s="6" t="s">
        <v>108</v>
      </c>
      <c r="G355" s="6" t="s">
        <v>104</v>
      </c>
      <c r="H355" s="6" t="s">
        <v>105</v>
      </c>
      <c r="J355" t="s">
        <v>90</v>
      </c>
    </row>
    <row r="356">
      <c r="A356" s="22">
        <v>46114</v>
      </c>
      <c r="B356" s="6">
        <v>553</v>
      </c>
      <c r="C356" s="7" t="s">
        <v>68</v>
      </c>
      <c r="D356" s="7" t="s">
        <v>69</v>
      </c>
      <c r="E356" s="6">
        <v>3</v>
      </c>
      <c r="F356" s="6" t="s">
        <v>106</v>
      </c>
      <c r="G356" s="6" t="s">
        <v>104</v>
      </c>
      <c r="H356" s="6" t="s">
        <v>105</v>
      </c>
      <c r="J356" t="s">
        <v>90</v>
      </c>
    </row>
    <row r="357">
      <c r="A357" s="22">
        <v>46114</v>
      </c>
      <c r="B357" s="13">
        <f>B356/B353*100</f>
        <v>92.166666666666657</v>
      </c>
      <c r="C357" s="7" t="s">
        <v>70</v>
      </c>
      <c r="D357" s="7" t="s">
        <v>71</v>
      </c>
      <c r="E357" s="6">
        <v>3</v>
      </c>
      <c r="F357" s="6" t="s">
        <v>108</v>
      </c>
      <c r="G357" s="6" t="s">
        <v>104</v>
      </c>
      <c r="H357" s="6" t="s">
        <v>105</v>
      </c>
      <c r="J357" t="s">
        <v>90</v>
      </c>
    </row>
    <row r="358">
      <c r="A358" s="22">
        <v>46114</v>
      </c>
      <c r="B358" s="13">
        <f>B356/B$340*100</f>
        <v>22.208835341365464</v>
      </c>
      <c r="C358" s="7" t="s">
        <v>72</v>
      </c>
      <c r="D358" s="7" t="s">
        <v>73</v>
      </c>
      <c r="E358" s="6">
        <v>3</v>
      </c>
      <c r="F358" s="6" t="s">
        <v>108</v>
      </c>
      <c r="G358" s="6" t="s">
        <v>104</v>
      </c>
      <c r="H358" s="6" t="s">
        <v>105</v>
      </c>
      <c r="J358" t="s">
        <v>90</v>
      </c>
    </row>
    <row r="359" ht="30">
      <c r="A359" s="22">
        <v>46114</v>
      </c>
      <c r="B359" s="13">
        <v>50</v>
      </c>
      <c r="C359" s="7" t="s">
        <v>74</v>
      </c>
      <c r="D359" s="27" t="s">
        <v>21</v>
      </c>
      <c r="E359" s="6">
        <v>3</v>
      </c>
      <c r="F359" s="6" t="s">
        <v>108</v>
      </c>
      <c r="G359" s="6" t="s">
        <v>134</v>
      </c>
      <c r="H359" s="6" t="s">
        <v>105</v>
      </c>
      <c r="J359" s="7" t="s">
        <v>90</v>
      </c>
    </row>
    <row r="360">
      <c r="A360" s="22">
        <v>46114</v>
      </c>
      <c r="B360" s="6">
        <v>4.0999999999999996</v>
      </c>
      <c r="C360" s="7" t="s">
        <v>75</v>
      </c>
      <c r="D360" s="28" t="s">
        <v>76</v>
      </c>
      <c r="E360" s="6">
        <v>3</v>
      </c>
      <c r="F360" s="6" t="s">
        <v>107</v>
      </c>
      <c r="G360" s="6" t="s">
        <v>134</v>
      </c>
      <c r="H360" s="6" t="s">
        <v>105</v>
      </c>
      <c r="J360" s="7" t="s">
        <v>90</v>
      </c>
    </row>
    <row r="361" ht="30">
      <c r="A361" s="22">
        <v>46114</v>
      </c>
      <c r="B361" s="13">
        <v>60</v>
      </c>
      <c r="C361" s="7" t="s">
        <v>20</v>
      </c>
      <c r="D361" s="27" t="s">
        <v>21</v>
      </c>
      <c r="E361" s="6">
        <v>1</v>
      </c>
      <c r="F361" s="6" t="s">
        <v>108</v>
      </c>
      <c r="G361" s="6" t="s">
        <v>134</v>
      </c>
      <c r="H361" s="6" t="s">
        <v>105</v>
      </c>
    </row>
    <row r="362">
      <c r="A362" s="22">
        <v>46114</v>
      </c>
      <c r="B362" s="6">
        <v>5.0999999999999996</v>
      </c>
      <c r="C362" s="7" t="s">
        <v>22</v>
      </c>
      <c r="D362" s="28" t="s">
        <v>23</v>
      </c>
      <c r="E362" s="6">
        <v>1</v>
      </c>
      <c r="F362" s="6" t="s">
        <v>107</v>
      </c>
      <c r="G362" s="6" t="s">
        <v>134</v>
      </c>
      <c r="H362" s="6" t="s">
        <v>105</v>
      </c>
    </row>
    <row r="363">
      <c r="A363" s="9">
        <v>45897</v>
      </c>
      <c r="B363" s="6">
        <v>1534</v>
      </c>
      <c r="C363" t="s">
        <v>24</v>
      </c>
      <c r="D363" t="s">
        <v>25</v>
      </c>
      <c r="E363" s="6">
        <v>1</v>
      </c>
      <c r="F363" s="6" t="s">
        <v>103</v>
      </c>
      <c r="G363" s="6" t="s">
        <v>104</v>
      </c>
      <c r="H363" s="6" t="s">
        <v>105</v>
      </c>
    </row>
    <row r="364">
      <c r="A364" s="9">
        <v>45904</v>
      </c>
      <c r="B364" s="6">
        <v>1250</v>
      </c>
      <c r="C364" t="s">
        <v>24</v>
      </c>
      <c r="D364" t="s">
        <v>25</v>
      </c>
      <c r="E364" s="6">
        <v>1</v>
      </c>
      <c r="F364" s="6" t="s">
        <v>103</v>
      </c>
      <c r="G364" s="6" t="s">
        <v>104</v>
      </c>
      <c r="H364" s="6" t="s">
        <v>105</v>
      </c>
    </row>
    <row r="365">
      <c r="A365" s="9">
        <v>45911</v>
      </c>
      <c r="B365" s="6">
        <v>1340</v>
      </c>
      <c r="C365" t="s">
        <v>24</v>
      </c>
      <c r="D365" t="s">
        <v>25</v>
      </c>
      <c r="E365" s="6">
        <v>1</v>
      </c>
      <c r="F365" s="6" t="s">
        <v>103</v>
      </c>
      <c r="G365" s="6" t="s">
        <v>104</v>
      </c>
      <c r="H365" s="6" t="s">
        <v>105</v>
      </c>
    </row>
    <row r="366">
      <c r="A366" s="9">
        <v>45918</v>
      </c>
      <c r="B366" s="6">
        <v>1217</v>
      </c>
      <c r="C366" t="s">
        <v>24</v>
      </c>
      <c r="D366" t="s">
        <v>25</v>
      </c>
      <c r="E366" s="6">
        <v>1</v>
      </c>
      <c r="F366" s="6" t="s">
        <v>103</v>
      </c>
      <c r="G366" s="6" t="s">
        <v>104</v>
      </c>
      <c r="H366" s="6" t="s">
        <v>105</v>
      </c>
    </row>
    <row r="367">
      <c r="A367" s="9">
        <v>45925</v>
      </c>
      <c r="B367" s="6">
        <v>1378</v>
      </c>
      <c r="C367" t="s">
        <v>24</v>
      </c>
      <c r="D367" t="s">
        <v>25</v>
      </c>
      <c r="E367" s="6">
        <v>1</v>
      </c>
      <c r="F367" s="6" t="s">
        <v>103</v>
      </c>
      <c r="G367" s="6" t="s">
        <v>104</v>
      </c>
      <c r="H367" s="6" t="s">
        <v>105</v>
      </c>
    </row>
    <row r="368">
      <c r="A368" s="9">
        <v>45932</v>
      </c>
      <c r="B368" s="6">
        <v>920</v>
      </c>
      <c r="C368" t="s">
        <v>24</v>
      </c>
      <c r="D368" t="s">
        <v>25</v>
      </c>
      <c r="E368" s="6">
        <v>1</v>
      </c>
      <c r="F368" s="6" t="s">
        <v>103</v>
      </c>
      <c r="G368" s="6" t="s">
        <v>104</v>
      </c>
      <c r="H368" s="6" t="s">
        <v>105</v>
      </c>
    </row>
    <row r="369">
      <c r="A369" s="9">
        <v>45946</v>
      </c>
      <c r="B369" s="6">
        <v>966</v>
      </c>
      <c r="C369" t="s">
        <v>24</v>
      </c>
      <c r="D369" t="s">
        <v>25</v>
      </c>
      <c r="E369" s="6">
        <v>1</v>
      </c>
      <c r="F369" s="6" t="s">
        <v>103</v>
      </c>
      <c r="G369" s="6" t="s">
        <v>104</v>
      </c>
      <c r="H369" s="6" t="s">
        <v>105</v>
      </c>
    </row>
    <row r="370">
      <c r="A370" s="22">
        <v>45953</v>
      </c>
      <c r="B370" s="6">
        <v>1093</v>
      </c>
      <c r="C370" t="s">
        <v>24</v>
      </c>
      <c r="D370" t="s">
        <v>25</v>
      </c>
      <c r="E370" s="6">
        <v>1</v>
      </c>
      <c r="F370" s="6" t="s">
        <v>103</v>
      </c>
      <c r="G370" s="6" t="s">
        <v>104</v>
      </c>
      <c r="H370" s="6" t="s">
        <v>105</v>
      </c>
    </row>
    <row r="371">
      <c r="A371" s="9">
        <v>45960</v>
      </c>
      <c r="B371" s="6">
        <v>1199</v>
      </c>
      <c r="C371" t="s">
        <v>24</v>
      </c>
      <c r="D371" t="s">
        <v>25</v>
      </c>
      <c r="E371" s="6">
        <v>1</v>
      </c>
      <c r="F371" s="6" t="s">
        <v>103</v>
      </c>
      <c r="G371" s="6" t="s">
        <v>104</v>
      </c>
      <c r="H371" s="6" t="s">
        <v>105</v>
      </c>
    </row>
    <row r="372">
      <c r="A372" s="9">
        <v>45967</v>
      </c>
      <c r="B372" s="6">
        <v>1190</v>
      </c>
      <c r="C372" t="s">
        <v>24</v>
      </c>
      <c r="D372" t="s">
        <v>25</v>
      </c>
      <c r="E372" s="6">
        <v>1</v>
      </c>
      <c r="F372" s="6" t="s">
        <v>103</v>
      </c>
      <c r="G372" s="6" t="s">
        <v>104</v>
      </c>
      <c r="H372" s="6" t="s">
        <v>105</v>
      </c>
    </row>
    <row r="373">
      <c r="A373" s="9">
        <v>45974</v>
      </c>
      <c r="B373" s="6">
        <v>1133</v>
      </c>
      <c r="C373" t="s">
        <v>24</v>
      </c>
      <c r="D373" t="s">
        <v>25</v>
      </c>
      <c r="E373" s="6">
        <v>1</v>
      </c>
      <c r="F373" s="6" t="s">
        <v>103</v>
      </c>
      <c r="G373" s="6" t="s">
        <v>104</v>
      </c>
      <c r="H373" s="6" t="s">
        <v>105</v>
      </c>
    </row>
    <row r="374">
      <c r="A374" s="9">
        <v>45981</v>
      </c>
      <c r="B374" s="6">
        <v>1097</v>
      </c>
      <c r="C374" t="s">
        <v>24</v>
      </c>
      <c r="D374" t="s">
        <v>25</v>
      </c>
      <c r="E374" s="6">
        <v>1</v>
      </c>
      <c r="F374" s="6" t="s">
        <v>103</v>
      </c>
      <c r="G374" s="6" t="s">
        <v>104</v>
      </c>
      <c r="H374" s="6" t="s">
        <v>105</v>
      </c>
    </row>
    <row r="375">
      <c r="A375" s="9">
        <v>45988</v>
      </c>
      <c r="B375" s="6">
        <v>1233</v>
      </c>
      <c r="C375" t="s">
        <v>24</v>
      </c>
      <c r="D375" t="s">
        <v>25</v>
      </c>
      <c r="E375" s="6">
        <v>1</v>
      </c>
      <c r="F375" s="6" t="s">
        <v>103</v>
      </c>
      <c r="G375" s="6" t="s">
        <v>104</v>
      </c>
      <c r="H375" s="6" t="s">
        <v>105</v>
      </c>
    </row>
    <row r="376">
      <c r="A376" s="9">
        <v>45995</v>
      </c>
      <c r="B376" s="6">
        <v>779</v>
      </c>
      <c r="C376" t="s">
        <v>24</v>
      </c>
      <c r="D376" t="s">
        <v>25</v>
      </c>
      <c r="E376" s="6">
        <v>1</v>
      </c>
      <c r="F376" s="6" t="s">
        <v>103</v>
      </c>
      <c r="G376" s="6" t="s">
        <v>104</v>
      </c>
      <c r="H376" s="6" t="s">
        <v>105</v>
      </c>
    </row>
    <row r="377">
      <c r="A377" s="9">
        <v>46002</v>
      </c>
      <c r="B377" s="6">
        <v>1146</v>
      </c>
      <c r="C377" t="s">
        <v>24</v>
      </c>
      <c r="D377" t="s">
        <v>25</v>
      </c>
      <c r="E377" s="6">
        <v>1</v>
      </c>
      <c r="F377" s="6" t="s">
        <v>103</v>
      </c>
      <c r="G377" s="6" t="s">
        <v>104</v>
      </c>
      <c r="H377" s="6" t="s">
        <v>105</v>
      </c>
    </row>
    <row r="378">
      <c r="A378" s="9">
        <v>46009</v>
      </c>
      <c r="B378" s="6">
        <v>1831</v>
      </c>
      <c r="C378" t="s">
        <v>24</v>
      </c>
      <c r="D378" t="s">
        <v>25</v>
      </c>
      <c r="E378" s="6">
        <v>1</v>
      </c>
      <c r="F378" s="6" t="s">
        <v>103</v>
      </c>
      <c r="G378" s="6" t="s">
        <v>104</v>
      </c>
      <c r="H378" s="6" t="s">
        <v>105</v>
      </c>
    </row>
    <row r="379">
      <c r="A379" s="9">
        <v>46016</v>
      </c>
      <c r="B379" s="6">
        <v>1893</v>
      </c>
      <c r="C379" t="s">
        <v>24</v>
      </c>
      <c r="D379" t="s">
        <v>25</v>
      </c>
      <c r="E379" s="6">
        <v>1</v>
      </c>
      <c r="F379" s="6" t="s">
        <v>103</v>
      </c>
      <c r="G379" s="6" t="s">
        <v>104</v>
      </c>
      <c r="H379" s="6" t="s">
        <v>105</v>
      </c>
    </row>
    <row r="380">
      <c r="A380" s="9">
        <v>46037</v>
      </c>
      <c r="B380" s="6">
        <v>1702</v>
      </c>
      <c r="C380" t="s">
        <v>24</v>
      </c>
      <c r="D380" t="s">
        <v>25</v>
      </c>
      <c r="E380" s="6">
        <v>1</v>
      </c>
      <c r="F380" s="6" t="s">
        <v>103</v>
      </c>
      <c r="G380" s="6" t="s">
        <v>104</v>
      </c>
      <c r="H380" s="6" t="s">
        <v>105</v>
      </c>
    </row>
    <row r="381">
      <c r="A381" s="9">
        <v>46044</v>
      </c>
      <c r="B381" s="6">
        <v>1508</v>
      </c>
      <c r="C381" t="s">
        <v>24</v>
      </c>
      <c r="D381" t="s">
        <v>25</v>
      </c>
      <c r="E381" s="6">
        <v>1</v>
      </c>
      <c r="F381" s="6" t="s">
        <v>103</v>
      </c>
      <c r="G381" s="6" t="s">
        <v>104</v>
      </c>
      <c r="H381" s="6" t="s">
        <v>105</v>
      </c>
    </row>
    <row r="382">
      <c r="A382" s="9">
        <v>46051</v>
      </c>
      <c r="B382" s="6">
        <v>1522</v>
      </c>
      <c r="C382" t="s">
        <v>24</v>
      </c>
      <c r="D382" t="s">
        <v>25</v>
      </c>
      <c r="E382" s="6">
        <v>1</v>
      </c>
      <c r="F382" s="6" t="s">
        <v>103</v>
      </c>
      <c r="G382" s="6" t="s">
        <v>104</v>
      </c>
      <c r="H382" s="6" t="s">
        <v>105</v>
      </c>
    </row>
    <row r="383">
      <c r="A383" s="9">
        <v>46058</v>
      </c>
      <c r="B383" s="6">
        <v>1255</v>
      </c>
      <c r="C383" t="s">
        <v>24</v>
      </c>
      <c r="D383" t="s">
        <v>25</v>
      </c>
      <c r="E383" s="6">
        <v>1</v>
      </c>
      <c r="F383" s="6" t="s">
        <v>103</v>
      </c>
      <c r="G383" s="6" t="s">
        <v>104</v>
      </c>
      <c r="H383" s="6" t="s">
        <v>105</v>
      </c>
    </row>
    <row r="384">
      <c r="A384" s="9">
        <v>46065</v>
      </c>
      <c r="B384" s="6">
        <v>1274</v>
      </c>
      <c r="C384" t="s">
        <v>24</v>
      </c>
      <c r="D384" t="s">
        <v>25</v>
      </c>
      <c r="E384" s="6">
        <v>1</v>
      </c>
      <c r="F384" s="6" t="s">
        <v>103</v>
      </c>
      <c r="G384" s="6" t="s">
        <v>104</v>
      </c>
      <c r="H384" s="6" t="s">
        <v>105</v>
      </c>
    </row>
    <row r="385">
      <c r="A385" s="9">
        <v>46072</v>
      </c>
      <c r="B385" s="6">
        <v>1206</v>
      </c>
      <c r="C385" t="s">
        <v>24</v>
      </c>
      <c r="D385" t="s">
        <v>25</v>
      </c>
      <c r="E385" s="6">
        <v>1</v>
      </c>
      <c r="F385" s="6" t="s">
        <v>103</v>
      </c>
      <c r="G385" s="6" t="s">
        <v>104</v>
      </c>
      <c r="H385" s="6" t="s">
        <v>105</v>
      </c>
    </row>
    <row r="386">
      <c r="A386" s="9">
        <v>46079</v>
      </c>
      <c r="B386" s="6">
        <v>1034</v>
      </c>
      <c r="C386" t="s">
        <v>24</v>
      </c>
      <c r="D386" t="s">
        <v>25</v>
      </c>
      <c r="E386" s="6">
        <v>1</v>
      </c>
      <c r="F386" s="6" t="s">
        <v>103</v>
      </c>
      <c r="G386" s="6" t="s">
        <v>104</v>
      </c>
      <c r="H386" s="6" t="s">
        <v>105</v>
      </c>
    </row>
    <row r="387">
      <c r="A387" s="9">
        <v>46086</v>
      </c>
      <c r="B387" s="6">
        <v>905</v>
      </c>
      <c r="C387" t="s">
        <v>24</v>
      </c>
      <c r="D387" t="s">
        <v>25</v>
      </c>
      <c r="E387" s="6">
        <v>1</v>
      </c>
      <c r="F387" s="6" t="s">
        <v>103</v>
      </c>
      <c r="G387" s="6" t="s">
        <v>104</v>
      </c>
      <c r="H387" s="6" t="s">
        <v>105</v>
      </c>
    </row>
    <row r="388">
      <c r="A388" s="9">
        <v>46093</v>
      </c>
      <c r="B388" s="6">
        <v>1078</v>
      </c>
      <c r="C388" t="s">
        <v>24</v>
      </c>
      <c r="D388" t="s">
        <v>25</v>
      </c>
      <c r="E388" s="6">
        <v>1</v>
      </c>
      <c r="F388" s="6" t="s">
        <v>103</v>
      </c>
      <c r="G388" s="6" t="s">
        <v>104</v>
      </c>
      <c r="H388" s="6" t="s">
        <v>105</v>
      </c>
    </row>
    <row r="389">
      <c r="A389" s="9">
        <v>46100</v>
      </c>
      <c r="B389" s="6">
        <v>1111</v>
      </c>
      <c r="C389" t="s">
        <v>24</v>
      </c>
      <c r="D389" t="s">
        <v>25</v>
      </c>
      <c r="E389" s="6">
        <v>1</v>
      </c>
      <c r="F389" s="6" t="s">
        <v>103</v>
      </c>
      <c r="G389" s="6" t="s">
        <v>104</v>
      </c>
      <c r="H389" s="6" t="s">
        <v>105</v>
      </c>
    </row>
    <row r="390">
      <c r="A390" s="9">
        <v>46107</v>
      </c>
      <c r="B390" s="6">
        <v>1073</v>
      </c>
      <c r="C390" t="s">
        <v>24</v>
      </c>
      <c r="D390" t="s">
        <v>25</v>
      </c>
      <c r="E390" s="6">
        <v>1</v>
      </c>
      <c r="F390" s="6" t="s">
        <v>103</v>
      </c>
      <c r="G390" s="6" t="s">
        <v>104</v>
      </c>
      <c r="H390" s="6" t="s">
        <v>105</v>
      </c>
    </row>
    <row r="391">
      <c r="A391" s="9">
        <v>46114</v>
      </c>
      <c r="B391" s="6">
        <v>823</v>
      </c>
      <c r="C391" t="s">
        <v>24</v>
      </c>
      <c r="D391" t="s">
        <v>25</v>
      </c>
      <c r="E391" s="6">
        <v>1</v>
      </c>
      <c r="F391" s="6" t="s">
        <v>103</v>
      </c>
      <c r="G391" s="6" t="s">
        <v>104</v>
      </c>
      <c r="H391" s="6" t="s">
        <v>105</v>
      </c>
    </row>
    <row r="392">
      <c r="A392" s="9">
        <v>46121</v>
      </c>
      <c r="B392" s="6">
        <v>1011</v>
      </c>
      <c r="C392" t="s">
        <v>24</v>
      </c>
      <c r="D392" t="s">
        <v>25</v>
      </c>
      <c r="E392" s="6">
        <v>1</v>
      </c>
      <c r="F392" s="6" t="s">
        <v>103</v>
      </c>
      <c r="G392" s="6" t="s">
        <v>104</v>
      </c>
      <c r="H392" s="6" t="s">
        <v>105</v>
      </c>
    </row>
    <row r="393">
      <c r="A393" s="22">
        <v>45897</v>
      </c>
      <c r="B393" s="6">
        <v>1493</v>
      </c>
      <c r="C393" s="7" t="s">
        <v>26</v>
      </c>
      <c r="D393" s="7" t="s">
        <v>27</v>
      </c>
      <c r="E393" s="6">
        <v>1</v>
      </c>
      <c r="F393" s="6" t="s">
        <v>103</v>
      </c>
      <c r="G393" s="6" t="s">
        <v>104</v>
      </c>
      <c r="H393" s="6" t="s">
        <v>105</v>
      </c>
    </row>
    <row r="394">
      <c r="A394" s="9">
        <v>45904</v>
      </c>
      <c r="B394" s="6">
        <v>1739</v>
      </c>
      <c r="C394" s="7" t="s">
        <v>26</v>
      </c>
      <c r="D394" s="7" t="s">
        <v>27</v>
      </c>
      <c r="E394" s="6">
        <v>1</v>
      </c>
      <c r="F394" s="6" t="s">
        <v>103</v>
      </c>
      <c r="G394" s="6" t="s">
        <v>104</v>
      </c>
      <c r="H394" s="6" t="s">
        <v>105</v>
      </c>
    </row>
    <row r="395">
      <c r="A395" s="22">
        <v>45911</v>
      </c>
      <c r="B395" s="6">
        <v>1539</v>
      </c>
      <c r="C395" s="7" t="s">
        <v>26</v>
      </c>
      <c r="D395" s="7" t="s">
        <v>27</v>
      </c>
      <c r="E395" s="6">
        <v>1</v>
      </c>
      <c r="F395" s="6" t="s">
        <v>103</v>
      </c>
      <c r="G395" s="6" t="s">
        <v>104</v>
      </c>
      <c r="H395" s="6" t="s">
        <v>105</v>
      </c>
    </row>
    <row r="396">
      <c r="A396" s="22">
        <v>45918</v>
      </c>
      <c r="B396" s="6">
        <v>1480</v>
      </c>
      <c r="C396" s="7" t="s">
        <v>26</v>
      </c>
      <c r="D396" s="7" t="s">
        <v>27</v>
      </c>
      <c r="E396" s="6">
        <v>1</v>
      </c>
      <c r="F396" s="6" t="s">
        <v>103</v>
      </c>
      <c r="G396" s="6" t="s">
        <v>104</v>
      </c>
      <c r="H396" s="6" t="s">
        <v>105</v>
      </c>
    </row>
    <row r="397">
      <c r="A397" s="22">
        <v>45925</v>
      </c>
      <c r="B397" s="6">
        <v>1488</v>
      </c>
      <c r="C397" s="7" t="s">
        <v>26</v>
      </c>
      <c r="D397" s="7" t="s">
        <v>27</v>
      </c>
      <c r="E397" s="6">
        <v>1</v>
      </c>
      <c r="F397" s="6" t="s">
        <v>103</v>
      </c>
      <c r="G397" s="6" t="s">
        <v>104</v>
      </c>
      <c r="H397" s="6" t="s">
        <v>105</v>
      </c>
    </row>
    <row r="398">
      <c r="A398" s="22">
        <v>45932</v>
      </c>
      <c r="B398" s="6">
        <v>1298</v>
      </c>
      <c r="C398" s="7" t="s">
        <v>26</v>
      </c>
      <c r="D398" s="7" t="s">
        <v>27</v>
      </c>
      <c r="E398" s="6">
        <v>1</v>
      </c>
      <c r="F398" s="6" t="s">
        <v>103</v>
      </c>
      <c r="G398" s="6" t="s">
        <v>104</v>
      </c>
      <c r="H398" s="6" t="s">
        <v>105</v>
      </c>
    </row>
    <row r="399">
      <c r="A399" s="22">
        <v>45946</v>
      </c>
      <c r="B399" s="6">
        <v>1275</v>
      </c>
      <c r="C399" s="7" t="s">
        <v>26</v>
      </c>
      <c r="D399" s="7" t="s">
        <v>27</v>
      </c>
      <c r="E399" s="6">
        <v>1</v>
      </c>
      <c r="F399" s="6" t="s">
        <v>103</v>
      </c>
      <c r="G399" s="6" t="s">
        <v>104</v>
      </c>
      <c r="H399" s="6" t="s">
        <v>105</v>
      </c>
    </row>
    <row r="400">
      <c r="A400" s="22">
        <v>45953</v>
      </c>
      <c r="B400" s="6">
        <v>1337</v>
      </c>
      <c r="C400" s="7" t="s">
        <v>26</v>
      </c>
      <c r="D400" s="7" t="s">
        <v>27</v>
      </c>
      <c r="E400" s="6">
        <v>1</v>
      </c>
      <c r="F400" s="6" t="s">
        <v>103</v>
      </c>
      <c r="G400" s="6" t="s">
        <v>104</v>
      </c>
      <c r="H400" s="6" t="s">
        <v>105</v>
      </c>
    </row>
    <row r="401">
      <c r="A401" s="22">
        <v>45960</v>
      </c>
      <c r="B401" s="6">
        <v>1437</v>
      </c>
      <c r="C401" s="7" t="s">
        <v>26</v>
      </c>
      <c r="D401" s="7" t="s">
        <v>27</v>
      </c>
      <c r="E401" s="6">
        <v>1</v>
      </c>
      <c r="F401" s="6" t="s">
        <v>103</v>
      </c>
      <c r="G401" s="6" t="s">
        <v>104</v>
      </c>
      <c r="H401" s="6" t="s">
        <v>105</v>
      </c>
    </row>
    <row r="402">
      <c r="A402" s="22">
        <v>45967</v>
      </c>
      <c r="B402" s="6">
        <v>1243</v>
      </c>
      <c r="C402" s="7" t="s">
        <v>26</v>
      </c>
      <c r="D402" s="7" t="s">
        <v>27</v>
      </c>
      <c r="E402" s="6">
        <v>1</v>
      </c>
      <c r="F402" s="6" t="s">
        <v>103</v>
      </c>
      <c r="G402" s="6" t="s">
        <v>104</v>
      </c>
      <c r="H402" s="6" t="s">
        <v>105</v>
      </c>
    </row>
    <row r="403">
      <c r="A403" s="22">
        <v>45974</v>
      </c>
      <c r="B403" s="6">
        <v>1470</v>
      </c>
      <c r="C403" s="7" t="s">
        <v>26</v>
      </c>
      <c r="D403" s="7" t="s">
        <v>27</v>
      </c>
      <c r="E403" s="6">
        <v>1</v>
      </c>
      <c r="F403" s="6" t="s">
        <v>103</v>
      </c>
      <c r="G403" s="6" t="s">
        <v>104</v>
      </c>
      <c r="H403" s="6" t="s">
        <v>105</v>
      </c>
    </row>
    <row r="404">
      <c r="A404" s="22">
        <v>45981</v>
      </c>
      <c r="B404" s="6">
        <v>1391</v>
      </c>
      <c r="C404" s="7" t="s">
        <v>26</v>
      </c>
      <c r="D404" s="7" t="s">
        <v>27</v>
      </c>
      <c r="E404" s="6">
        <v>1</v>
      </c>
      <c r="F404" s="6" t="s">
        <v>103</v>
      </c>
      <c r="G404" s="6" t="s">
        <v>104</v>
      </c>
      <c r="H404" s="6" t="s">
        <v>105</v>
      </c>
    </row>
    <row r="405">
      <c r="A405" s="22">
        <v>45988</v>
      </c>
      <c r="B405" s="6">
        <v>1369</v>
      </c>
      <c r="C405" s="7" t="s">
        <v>26</v>
      </c>
      <c r="D405" s="7" t="s">
        <v>27</v>
      </c>
      <c r="E405" s="6">
        <v>1</v>
      </c>
      <c r="F405" s="6" t="s">
        <v>103</v>
      </c>
      <c r="G405" s="6" t="s">
        <v>104</v>
      </c>
      <c r="H405" s="6" t="s">
        <v>105</v>
      </c>
    </row>
    <row r="406">
      <c r="A406" s="22">
        <v>45995</v>
      </c>
      <c r="B406" s="6">
        <v>949</v>
      </c>
      <c r="C406" s="7" t="s">
        <v>26</v>
      </c>
      <c r="D406" s="7" t="s">
        <v>27</v>
      </c>
      <c r="E406" s="6">
        <v>1</v>
      </c>
      <c r="F406" s="6" t="s">
        <v>103</v>
      </c>
      <c r="G406" s="6" t="s">
        <v>104</v>
      </c>
      <c r="H406" s="6" t="s">
        <v>105</v>
      </c>
    </row>
    <row r="407">
      <c r="A407" s="22">
        <v>46002</v>
      </c>
      <c r="B407" s="6">
        <v>1046</v>
      </c>
      <c r="C407" s="7" t="s">
        <v>26</v>
      </c>
      <c r="D407" s="7" t="s">
        <v>27</v>
      </c>
      <c r="E407" s="6">
        <v>1</v>
      </c>
      <c r="F407" s="6" t="s">
        <v>103</v>
      </c>
      <c r="G407" s="6" t="s">
        <v>104</v>
      </c>
      <c r="H407" s="6" t="s">
        <v>105</v>
      </c>
    </row>
    <row r="408">
      <c r="A408" s="22">
        <v>46009</v>
      </c>
      <c r="B408" s="6">
        <v>1299</v>
      </c>
      <c r="C408" s="7" t="s">
        <v>26</v>
      </c>
      <c r="D408" s="7" t="s">
        <v>27</v>
      </c>
      <c r="E408" s="6">
        <v>1</v>
      </c>
      <c r="F408" s="6" t="s">
        <v>103</v>
      </c>
      <c r="G408" s="6" t="s">
        <v>104</v>
      </c>
      <c r="H408" s="6" t="s">
        <v>105</v>
      </c>
    </row>
    <row r="409">
      <c r="A409" s="22">
        <v>46016</v>
      </c>
      <c r="B409" s="6">
        <v>1610</v>
      </c>
      <c r="C409" s="7" t="s">
        <v>26</v>
      </c>
      <c r="D409" s="7" t="s">
        <v>27</v>
      </c>
      <c r="E409" s="6">
        <v>1</v>
      </c>
      <c r="F409" s="6" t="s">
        <v>103</v>
      </c>
      <c r="G409" s="6" t="s">
        <v>104</v>
      </c>
      <c r="H409" s="6" t="s">
        <v>105</v>
      </c>
    </row>
    <row r="410">
      <c r="A410" s="22">
        <v>46037</v>
      </c>
      <c r="B410" s="6">
        <v>1335</v>
      </c>
      <c r="C410" s="7" t="s">
        <v>26</v>
      </c>
      <c r="D410" s="7" t="s">
        <v>27</v>
      </c>
      <c r="E410" s="6">
        <v>1</v>
      </c>
      <c r="F410" s="6" t="s">
        <v>103</v>
      </c>
      <c r="G410" s="6" t="s">
        <v>104</v>
      </c>
      <c r="H410" s="6" t="s">
        <v>105</v>
      </c>
    </row>
    <row r="411">
      <c r="A411" s="22">
        <v>46044</v>
      </c>
      <c r="B411" s="6">
        <v>1258</v>
      </c>
      <c r="C411" s="7" t="s">
        <v>26</v>
      </c>
      <c r="D411" s="7" t="s">
        <v>27</v>
      </c>
      <c r="E411" s="6">
        <v>1</v>
      </c>
      <c r="F411" s="6" t="s">
        <v>103</v>
      </c>
      <c r="G411" s="6" t="s">
        <v>104</v>
      </c>
      <c r="H411" s="6" t="s">
        <v>105</v>
      </c>
    </row>
    <row r="412">
      <c r="A412" s="22">
        <v>46051</v>
      </c>
      <c r="B412" s="6">
        <v>1347</v>
      </c>
      <c r="C412" s="7" t="s">
        <v>26</v>
      </c>
      <c r="D412" s="7" t="s">
        <v>27</v>
      </c>
      <c r="E412" s="6">
        <v>1</v>
      </c>
      <c r="F412" s="6" t="s">
        <v>103</v>
      </c>
      <c r="G412" s="6" t="s">
        <v>104</v>
      </c>
      <c r="H412" s="6" t="s">
        <v>105</v>
      </c>
    </row>
    <row r="413">
      <c r="A413" s="22">
        <v>46058</v>
      </c>
      <c r="B413" s="6">
        <v>1180</v>
      </c>
      <c r="C413" s="7" t="s">
        <v>26</v>
      </c>
      <c r="D413" s="7" t="s">
        <v>27</v>
      </c>
      <c r="E413" s="6">
        <v>1</v>
      </c>
      <c r="F413" s="6" t="s">
        <v>103</v>
      </c>
      <c r="G413" s="6" t="s">
        <v>104</v>
      </c>
      <c r="H413" s="6" t="s">
        <v>105</v>
      </c>
    </row>
    <row r="414">
      <c r="A414" s="22">
        <v>46065</v>
      </c>
      <c r="B414" s="6">
        <v>1237</v>
      </c>
      <c r="C414" s="7" t="s">
        <v>26</v>
      </c>
      <c r="D414" s="7" t="s">
        <v>27</v>
      </c>
      <c r="E414" s="6">
        <v>1</v>
      </c>
      <c r="F414" s="6" t="s">
        <v>103</v>
      </c>
      <c r="G414" s="6" t="s">
        <v>104</v>
      </c>
      <c r="H414" s="6" t="s">
        <v>105</v>
      </c>
    </row>
    <row r="415">
      <c r="A415" s="22">
        <v>46072</v>
      </c>
      <c r="B415" s="6">
        <v>1164</v>
      </c>
      <c r="C415" s="7" t="s">
        <v>26</v>
      </c>
      <c r="D415" s="7" t="s">
        <v>27</v>
      </c>
      <c r="E415" s="6">
        <v>1</v>
      </c>
      <c r="F415" s="6" t="s">
        <v>103</v>
      </c>
      <c r="G415" s="6" t="s">
        <v>104</v>
      </c>
      <c r="H415" s="6" t="s">
        <v>105</v>
      </c>
    </row>
    <row r="416">
      <c r="A416" s="22">
        <v>46079</v>
      </c>
      <c r="B416" s="6">
        <v>1064</v>
      </c>
      <c r="C416" s="7" t="s">
        <v>26</v>
      </c>
      <c r="D416" s="7" t="s">
        <v>27</v>
      </c>
      <c r="E416" s="6">
        <v>1</v>
      </c>
      <c r="F416" s="6" t="s">
        <v>103</v>
      </c>
      <c r="G416" s="6" t="s">
        <v>104</v>
      </c>
      <c r="H416" s="6" t="s">
        <v>105</v>
      </c>
    </row>
    <row r="417">
      <c r="A417" s="22">
        <v>46086</v>
      </c>
      <c r="B417" s="6">
        <v>933</v>
      </c>
      <c r="C417" s="7" t="s">
        <v>26</v>
      </c>
      <c r="D417" s="7" t="s">
        <v>27</v>
      </c>
      <c r="E417" s="6">
        <v>1</v>
      </c>
      <c r="F417" s="6" t="s">
        <v>103</v>
      </c>
      <c r="G417" s="6" t="s">
        <v>104</v>
      </c>
      <c r="H417" s="6" t="s">
        <v>105</v>
      </c>
    </row>
    <row r="418">
      <c r="A418" s="22">
        <v>46093</v>
      </c>
      <c r="B418" s="6">
        <v>1000</v>
      </c>
      <c r="C418" s="7" t="s">
        <v>26</v>
      </c>
      <c r="D418" s="7" t="s">
        <v>27</v>
      </c>
      <c r="E418" s="6">
        <v>1</v>
      </c>
      <c r="F418" s="6" t="s">
        <v>103</v>
      </c>
      <c r="G418" s="6" t="s">
        <v>104</v>
      </c>
      <c r="H418" s="6" t="s">
        <v>105</v>
      </c>
    </row>
    <row r="419">
      <c r="A419" s="22">
        <v>46100</v>
      </c>
      <c r="B419" s="6">
        <v>908</v>
      </c>
      <c r="C419" s="7" t="s">
        <v>26</v>
      </c>
      <c r="D419" s="7" t="s">
        <v>27</v>
      </c>
      <c r="E419" s="6">
        <v>1</v>
      </c>
      <c r="F419" s="6" t="s">
        <v>103</v>
      </c>
      <c r="G419" s="6" t="s">
        <v>104</v>
      </c>
      <c r="H419" s="6" t="s">
        <v>105</v>
      </c>
    </row>
    <row r="420">
      <c r="A420" s="22">
        <v>46107</v>
      </c>
      <c r="B420" s="6">
        <v>999</v>
      </c>
      <c r="C420" s="7" t="s">
        <v>26</v>
      </c>
      <c r="D420" s="7" t="s">
        <v>27</v>
      </c>
      <c r="E420" s="6">
        <v>1</v>
      </c>
      <c r="F420" s="6" t="s">
        <v>103</v>
      </c>
      <c r="G420" s="6" t="s">
        <v>104</v>
      </c>
      <c r="H420" s="6" t="s">
        <v>105</v>
      </c>
    </row>
    <row r="421">
      <c r="A421" s="22">
        <v>46114</v>
      </c>
      <c r="B421" s="6">
        <v>801</v>
      </c>
      <c r="C421" s="7" t="s">
        <v>26</v>
      </c>
      <c r="D421" s="7" t="s">
        <v>27</v>
      </c>
      <c r="E421" s="6">
        <v>1</v>
      </c>
      <c r="F421" s="6" t="s">
        <v>103</v>
      </c>
      <c r="G421" s="6" t="s">
        <v>104</v>
      </c>
      <c r="H421" s="6" t="s">
        <v>105</v>
      </c>
    </row>
    <row r="422">
      <c r="A422" s="22">
        <v>46121</v>
      </c>
      <c r="B422" s="6">
        <v>840</v>
      </c>
      <c r="C422" s="7" t="s">
        <v>26</v>
      </c>
      <c r="D422" s="7" t="s">
        <v>27</v>
      </c>
      <c r="E422" s="6">
        <v>1</v>
      </c>
      <c r="F422" s="6" t="s">
        <v>103</v>
      </c>
      <c r="G422" s="6" t="s">
        <v>104</v>
      </c>
      <c r="H422" s="6" t="s">
        <v>105</v>
      </c>
    </row>
    <row r="423">
      <c r="A423" s="22">
        <v>45897</v>
      </c>
      <c r="B423" s="6">
        <v>381</v>
      </c>
      <c r="C423" t="s">
        <v>77</v>
      </c>
      <c r="D423" s="7" t="s">
        <v>25</v>
      </c>
      <c r="E423" s="6">
        <v>3</v>
      </c>
      <c r="F423" s="6" t="s">
        <v>103</v>
      </c>
      <c r="G423" s="6" t="s">
        <v>104</v>
      </c>
      <c r="H423" s="6" t="s">
        <v>105</v>
      </c>
      <c r="I423" s="7"/>
      <c r="J423" s="7" t="s">
        <v>90</v>
      </c>
    </row>
    <row r="424">
      <c r="A424" s="9">
        <v>45904</v>
      </c>
      <c r="B424" s="6">
        <v>240</v>
      </c>
      <c r="C424" t="s">
        <v>77</v>
      </c>
      <c r="D424" s="7" t="s">
        <v>25</v>
      </c>
      <c r="E424" s="6">
        <v>3</v>
      </c>
      <c r="F424" s="6" t="s">
        <v>103</v>
      </c>
      <c r="G424" s="6" t="s">
        <v>104</v>
      </c>
      <c r="H424" s="6" t="s">
        <v>105</v>
      </c>
      <c r="I424" s="7"/>
      <c r="J424" s="7" t="s">
        <v>90</v>
      </c>
    </row>
    <row r="425">
      <c r="A425" s="22">
        <v>45911</v>
      </c>
      <c r="B425" s="6">
        <v>478</v>
      </c>
      <c r="C425" t="s">
        <v>77</v>
      </c>
      <c r="D425" s="7" t="s">
        <v>25</v>
      </c>
      <c r="E425" s="6">
        <v>3</v>
      </c>
      <c r="F425" s="6" t="s">
        <v>103</v>
      </c>
      <c r="G425" s="6" t="s">
        <v>104</v>
      </c>
      <c r="H425" s="6" t="s">
        <v>105</v>
      </c>
      <c r="I425" s="7"/>
      <c r="J425" s="7" t="s">
        <v>90</v>
      </c>
    </row>
    <row r="426">
      <c r="A426" s="22">
        <v>45918</v>
      </c>
      <c r="B426" s="6">
        <v>307</v>
      </c>
      <c r="C426" t="s">
        <v>77</v>
      </c>
      <c r="D426" s="7" t="s">
        <v>25</v>
      </c>
      <c r="E426" s="6">
        <v>3</v>
      </c>
      <c r="F426" s="6" t="s">
        <v>103</v>
      </c>
      <c r="G426" s="6" t="s">
        <v>104</v>
      </c>
      <c r="H426" s="6" t="s">
        <v>105</v>
      </c>
      <c r="I426" s="7"/>
      <c r="J426" s="7" t="s">
        <v>90</v>
      </c>
    </row>
    <row r="427">
      <c r="A427" s="22">
        <v>45925</v>
      </c>
      <c r="B427" s="6">
        <v>417</v>
      </c>
      <c r="C427" t="s">
        <v>77</v>
      </c>
      <c r="D427" s="7" t="s">
        <v>25</v>
      </c>
      <c r="E427" s="6">
        <v>3</v>
      </c>
      <c r="F427" s="6" t="s">
        <v>103</v>
      </c>
      <c r="G427" s="6" t="s">
        <v>104</v>
      </c>
      <c r="H427" s="6" t="s">
        <v>105</v>
      </c>
      <c r="I427" s="7"/>
      <c r="J427" s="7" t="s">
        <v>90</v>
      </c>
    </row>
    <row r="428">
      <c r="A428" s="22">
        <v>45932</v>
      </c>
      <c r="B428" s="6">
        <v>218</v>
      </c>
      <c r="C428" t="s">
        <v>77</v>
      </c>
      <c r="D428" s="7" t="s">
        <v>25</v>
      </c>
      <c r="E428" s="6">
        <v>3</v>
      </c>
      <c r="F428" s="6" t="s">
        <v>103</v>
      </c>
      <c r="G428" s="6" t="s">
        <v>104</v>
      </c>
      <c r="H428" s="6" t="s">
        <v>105</v>
      </c>
      <c r="I428" s="7"/>
      <c r="J428" s="7" t="s">
        <v>90</v>
      </c>
    </row>
    <row r="429">
      <c r="A429" s="22">
        <v>45946</v>
      </c>
      <c r="B429" s="6">
        <v>329</v>
      </c>
      <c r="C429" t="s">
        <v>77</v>
      </c>
      <c r="D429" s="7" t="s">
        <v>25</v>
      </c>
      <c r="E429" s="6">
        <v>3</v>
      </c>
      <c r="F429" s="6" t="s">
        <v>103</v>
      </c>
      <c r="G429" s="6" t="s">
        <v>104</v>
      </c>
      <c r="H429" s="6" t="s">
        <v>105</v>
      </c>
      <c r="I429" s="7"/>
      <c r="J429" s="7" t="s">
        <v>90</v>
      </c>
    </row>
    <row r="430">
      <c r="A430" s="22">
        <v>45953</v>
      </c>
      <c r="B430" s="6">
        <v>310</v>
      </c>
      <c r="C430" t="s">
        <v>77</v>
      </c>
      <c r="D430" s="7" t="s">
        <v>25</v>
      </c>
      <c r="E430" s="6">
        <v>3</v>
      </c>
      <c r="F430" s="6" t="s">
        <v>103</v>
      </c>
      <c r="G430" s="6" t="s">
        <v>104</v>
      </c>
      <c r="H430" s="6" t="s">
        <v>105</v>
      </c>
      <c r="I430" s="7"/>
      <c r="J430" s="7" t="s">
        <v>90</v>
      </c>
    </row>
    <row r="431">
      <c r="A431" s="22">
        <v>45960</v>
      </c>
      <c r="B431" s="6">
        <v>412</v>
      </c>
      <c r="C431" t="s">
        <v>77</v>
      </c>
      <c r="D431" s="7" t="s">
        <v>25</v>
      </c>
      <c r="E431" s="6">
        <v>3</v>
      </c>
      <c r="F431" s="6" t="s">
        <v>103</v>
      </c>
      <c r="G431" s="6" t="s">
        <v>104</v>
      </c>
      <c r="H431" s="6" t="s">
        <v>105</v>
      </c>
      <c r="I431" s="7"/>
      <c r="J431" s="7" t="s">
        <v>90</v>
      </c>
    </row>
    <row r="432">
      <c r="A432" s="22">
        <v>45967</v>
      </c>
      <c r="B432" s="6">
        <v>215</v>
      </c>
      <c r="C432" t="s">
        <v>77</v>
      </c>
      <c r="D432" s="7" t="s">
        <v>25</v>
      </c>
      <c r="E432" s="6">
        <v>3</v>
      </c>
      <c r="F432" s="6" t="s">
        <v>103</v>
      </c>
      <c r="G432" s="6" t="s">
        <v>104</v>
      </c>
      <c r="H432" s="6" t="s">
        <v>105</v>
      </c>
      <c r="I432" s="7"/>
      <c r="J432" s="7" t="s">
        <v>90</v>
      </c>
    </row>
    <row r="433">
      <c r="A433" s="22">
        <v>45974</v>
      </c>
      <c r="B433" s="6">
        <v>349</v>
      </c>
      <c r="C433" t="s">
        <v>77</v>
      </c>
      <c r="D433" s="7" t="s">
        <v>25</v>
      </c>
      <c r="E433" s="6">
        <v>3</v>
      </c>
      <c r="F433" s="6" t="s">
        <v>103</v>
      </c>
      <c r="G433" s="6" t="s">
        <v>104</v>
      </c>
      <c r="H433" s="6" t="s">
        <v>105</v>
      </c>
      <c r="I433" s="7"/>
      <c r="J433" s="7" t="s">
        <v>90</v>
      </c>
    </row>
    <row r="434">
      <c r="A434" s="22">
        <v>45981</v>
      </c>
      <c r="B434" s="6">
        <v>345</v>
      </c>
      <c r="C434" t="s">
        <v>77</v>
      </c>
      <c r="D434" s="7" t="s">
        <v>25</v>
      </c>
      <c r="E434" s="6">
        <v>3</v>
      </c>
      <c r="F434" s="6" t="s">
        <v>103</v>
      </c>
      <c r="G434" s="6" t="s">
        <v>104</v>
      </c>
      <c r="H434" s="6" t="s">
        <v>105</v>
      </c>
      <c r="I434" s="7"/>
      <c r="J434" s="7" t="s">
        <v>90</v>
      </c>
    </row>
    <row r="435">
      <c r="A435" s="22">
        <v>45988</v>
      </c>
      <c r="B435" s="6">
        <v>422</v>
      </c>
      <c r="C435" t="s">
        <v>77</v>
      </c>
      <c r="D435" s="7" t="s">
        <v>25</v>
      </c>
      <c r="E435" s="6">
        <v>3</v>
      </c>
      <c r="F435" s="6" t="s">
        <v>103</v>
      </c>
      <c r="G435" s="6" t="s">
        <v>104</v>
      </c>
      <c r="H435" s="6" t="s">
        <v>105</v>
      </c>
      <c r="I435" s="7"/>
      <c r="J435" s="7" t="s">
        <v>90</v>
      </c>
    </row>
    <row r="436">
      <c r="A436" s="22">
        <v>45995</v>
      </c>
      <c r="B436" s="6">
        <v>261</v>
      </c>
      <c r="C436" t="s">
        <v>77</v>
      </c>
      <c r="D436" s="7" t="s">
        <v>25</v>
      </c>
      <c r="E436" s="6">
        <v>3</v>
      </c>
      <c r="F436" s="6" t="s">
        <v>103</v>
      </c>
      <c r="G436" s="6" t="s">
        <v>104</v>
      </c>
      <c r="H436" s="6" t="s">
        <v>105</v>
      </c>
      <c r="I436" s="7"/>
      <c r="J436" s="7" t="s">
        <v>90</v>
      </c>
    </row>
    <row r="437">
      <c r="A437" s="22">
        <v>46002</v>
      </c>
      <c r="B437" s="6">
        <v>560</v>
      </c>
      <c r="C437" t="s">
        <v>77</v>
      </c>
      <c r="D437" s="7" t="s">
        <v>25</v>
      </c>
      <c r="E437" s="6">
        <v>3</v>
      </c>
      <c r="F437" s="6" t="s">
        <v>103</v>
      </c>
      <c r="G437" s="6" t="s">
        <v>104</v>
      </c>
      <c r="H437" s="6" t="s">
        <v>105</v>
      </c>
      <c r="I437" s="7"/>
      <c r="J437" s="7" t="s">
        <v>90</v>
      </c>
    </row>
    <row r="438">
      <c r="A438" s="22">
        <v>46009</v>
      </c>
      <c r="B438" s="6">
        <v>879</v>
      </c>
      <c r="C438" t="s">
        <v>77</v>
      </c>
      <c r="D438" s="7" t="s">
        <v>25</v>
      </c>
      <c r="E438" s="6">
        <v>3</v>
      </c>
      <c r="F438" s="6" t="s">
        <v>103</v>
      </c>
      <c r="G438" s="6" t="s">
        <v>104</v>
      </c>
      <c r="H438" s="6" t="s">
        <v>105</v>
      </c>
      <c r="I438" s="7"/>
      <c r="J438" s="7" t="s">
        <v>90</v>
      </c>
    </row>
    <row r="439">
      <c r="A439" s="22">
        <v>46016</v>
      </c>
      <c r="B439" s="6">
        <v>897</v>
      </c>
      <c r="C439" t="s">
        <v>77</v>
      </c>
      <c r="D439" s="7" t="s">
        <v>25</v>
      </c>
      <c r="E439" s="6">
        <v>3</v>
      </c>
      <c r="F439" s="6" t="s">
        <v>103</v>
      </c>
      <c r="G439" s="6" t="s">
        <v>104</v>
      </c>
      <c r="H439" s="6" t="s">
        <v>105</v>
      </c>
      <c r="I439" s="7"/>
      <c r="J439" s="7" t="s">
        <v>90</v>
      </c>
    </row>
    <row r="440">
      <c r="A440" s="22">
        <v>46037</v>
      </c>
      <c r="B440" s="6">
        <v>738</v>
      </c>
      <c r="C440" t="s">
        <v>77</v>
      </c>
      <c r="D440" s="7" t="s">
        <v>25</v>
      </c>
      <c r="E440" s="6">
        <v>3</v>
      </c>
      <c r="F440" s="6" t="s">
        <v>103</v>
      </c>
      <c r="G440" s="6" t="s">
        <v>104</v>
      </c>
      <c r="H440" s="6" t="s">
        <v>105</v>
      </c>
      <c r="I440" s="7"/>
      <c r="J440" s="7" t="s">
        <v>90</v>
      </c>
    </row>
    <row r="441">
      <c r="A441" s="22">
        <v>46044</v>
      </c>
      <c r="B441" s="6">
        <v>598</v>
      </c>
      <c r="C441" t="s">
        <v>77</v>
      </c>
      <c r="D441" s="7" t="s">
        <v>25</v>
      </c>
      <c r="E441" s="6">
        <v>3</v>
      </c>
      <c r="F441" s="6" t="s">
        <v>103</v>
      </c>
      <c r="G441" s="6" t="s">
        <v>104</v>
      </c>
      <c r="H441" s="6" t="s">
        <v>105</v>
      </c>
      <c r="I441" s="7"/>
      <c r="J441" s="7" t="s">
        <v>90</v>
      </c>
    </row>
    <row r="442">
      <c r="A442" s="22">
        <v>46051</v>
      </c>
      <c r="B442" s="6">
        <v>601</v>
      </c>
      <c r="C442" t="s">
        <v>77</v>
      </c>
      <c r="D442" s="7" t="s">
        <v>25</v>
      </c>
      <c r="E442" s="6">
        <v>3</v>
      </c>
      <c r="F442" s="6" t="s">
        <v>103</v>
      </c>
      <c r="G442" s="6" t="s">
        <v>104</v>
      </c>
      <c r="H442" s="6" t="s">
        <v>105</v>
      </c>
      <c r="I442" s="7"/>
      <c r="J442" s="7" t="s">
        <v>90</v>
      </c>
    </row>
    <row r="443">
      <c r="A443" s="22">
        <v>46058</v>
      </c>
      <c r="B443" s="6">
        <v>430</v>
      </c>
      <c r="C443" t="s">
        <v>77</v>
      </c>
      <c r="D443" s="7" t="s">
        <v>25</v>
      </c>
      <c r="E443" s="6">
        <v>3</v>
      </c>
      <c r="F443" s="6" t="s">
        <v>103</v>
      </c>
      <c r="G443" s="6" t="s">
        <v>104</v>
      </c>
      <c r="H443" s="6" t="s">
        <v>105</v>
      </c>
      <c r="I443" s="7"/>
      <c r="J443" s="7" t="s">
        <v>90</v>
      </c>
    </row>
    <row r="444">
      <c r="A444" s="22">
        <v>46065</v>
      </c>
      <c r="B444" s="6">
        <v>560</v>
      </c>
      <c r="C444" t="s">
        <v>77</v>
      </c>
      <c r="D444" s="7" t="s">
        <v>25</v>
      </c>
      <c r="E444" s="6">
        <v>3</v>
      </c>
      <c r="F444" s="6" t="s">
        <v>103</v>
      </c>
      <c r="G444" s="6" t="s">
        <v>104</v>
      </c>
      <c r="H444" s="6" t="s">
        <v>105</v>
      </c>
      <c r="I444" s="7"/>
      <c r="J444" s="7" t="s">
        <v>90</v>
      </c>
    </row>
    <row r="445">
      <c r="A445" s="22">
        <v>46072</v>
      </c>
      <c r="B445" s="6">
        <v>454</v>
      </c>
      <c r="C445" t="s">
        <v>77</v>
      </c>
      <c r="D445" s="7" t="s">
        <v>25</v>
      </c>
      <c r="E445" s="6">
        <v>3</v>
      </c>
      <c r="F445" s="6" t="s">
        <v>103</v>
      </c>
      <c r="G445" s="6" t="s">
        <v>104</v>
      </c>
      <c r="H445" s="6" t="s">
        <v>105</v>
      </c>
      <c r="I445" s="7"/>
      <c r="J445" s="7" t="s">
        <v>90</v>
      </c>
    </row>
    <row r="446">
      <c r="A446" s="22">
        <v>46079</v>
      </c>
      <c r="B446" s="6">
        <v>314</v>
      </c>
      <c r="C446" t="s">
        <v>77</v>
      </c>
      <c r="D446" s="7" t="s">
        <v>25</v>
      </c>
      <c r="E446" s="6">
        <v>3</v>
      </c>
      <c r="F446" s="6" t="s">
        <v>103</v>
      </c>
      <c r="G446" s="6" t="s">
        <v>104</v>
      </c>
      <c r="H446" s="6" t="s">
        <v>105</v>
      </c>
      <c r="I446" s="7"/>
      <c r="J446" s="7" t="s">
        <v>90</v>
      </c>
    </row>
    <row r="447">
      <c r="A447" s="22">
        <v>46086</v>
      </c>
      <c r="B447" s="6">
        <v>336</v>
      </c>
      <c r="C447" t="s">
        <v>77</v>
      </c>
      <c r="D447" s="7" t="s">
        <v>25</v>
      </c>
      <c r="E447" s="6">
        <v>3</v>
      </c>
      <c r="F447" s="6" t="s">
        <v>103</v>
      </c>
      <c r="G447" s="6" t="s">
        <v>104</v>
      </c>
      <c r="H447" s="6" t="s">
        <v>105</v>
      </c>
      <c r="I447" s="7"/>
      <c r="J447" s="7" t="s">
        <v>90</v>
      </c>
    </row>
    <row r="448">
      <c r="A448" s="22">
        <v>46093</v>
      </c>
      <c r="B448" s="6">
        <v>419</v>
      </c>
      <c r="C448" t="s">
        <v>77</v>
      </c>
      <c r="D448" s="7" t="s">
        <v>25</v>
      </c>
      <c r="E448" s="6">
        <v>3</v>
      </c>
      <c r="F448" s="6" t="s">
        <v>103</v>
      </c>
      <c r="G448" s="6" t="s">
        <v>104</v>
      </c>
      <c r="H448" s="6" t="s">
        <v>105</v>
      </c>
      <c r="I448" s="7"/>
      <c r="J448" s="7" t="s">
        <v>90</v>
      </c>
    </row>
    <row r="449">
      <c r="A449" s="22">
        <v>46100</v>
      </c>
      <c r="B449" s="6">
        <v>499</v>
      </c>
      <c r="C449" t="s">
        <v>77</v>
      </c>
      <c r="D449" s="7" t="s">
        <v>25</v>
      </c>
      <c r="E449" s="6">
        <v>3</v>
      </c>
      <c r="F449" s="6" t="s">
        <v>103</v>
      </c>
      <c r="G449" s="6" t="s">
        <v>104</v>
      </c>
      <c r="H449" s="6" t="s">
        <v>105</v>
      </c>
      <c r="I449" s="7"/>
      <c r="J449" s="7" t="s">
        <v>90</v>
      </c>
    </row>
    <row r="450">
      <c r="A450" s="22">
        <v>46107</v>
      </c>
      <c r="B450" s="6">
        <v>503</v>
      </c>
      <c r="C450" t="s">
        <v>77</v>
      </c>
      <c r="D450" s="7" t="s">
        <v>25</v>
      </c>
      <c r="E450" s="6">
        <v>3</v>
      </c>
      <c r="F450" s="6" t="s">
        <v>103</v>
      </c>
      <c r="G450" s="6" t="s">
        <v>104</v>
      </c>
      <c r="H450" s="6" t="s">
        <v>105</v>
      </c>
      <c r="I450" s="7"/>
      <c r="J450" s="7" t="s">
        <v>90</v>
      </c>
    </row>
    <row r="451">
      <c r="A451" s="22">
        <v>46114</v>
      </c>
      <c r="B451" s="6">
        <v>342</v>
      </c>
      <c r="C451" t="s">
        <v>77</v>
      </c>
      <c r="D451" s="7" t="s">
        <v>25</v>
      </c>
      <c r="E451" s="6">
        <v>3</v>
      </c>
      <c r="F451" s="6" t="s">
        <v>103</v>
      </c>
      <c r="G451" s="6" t="s">
        <v>104</v>
      </c>
      <c r="H451" s="6" t="s">
        <v>105</v>
      </c>
      <c r="I451" s="7"/>
      <c r="J451" s="7" t="s">
        <v>90</v>
      </c>
    </row>
    <row r="452">
      <c r="A452" s="22">
        <v>46121</v>
      </c>
      <c r="B452" s="6">
        <v>378</v>
      </c>
      <c r="C452" t="s">
        <v>77</v>
      </c>
      <c r="D452" s="7" t="s">
        <v>25</v>
      </c>
      <c r="E452" s="6">
        <v>3</v>
      </c>
      <c r="F452" s="6" t="s">
        <v>103</v>
      </c>
      <c r="G452" s="6" t="s">
        <v>104</v>
      </c>
      <c r="H452" s="6" t="s">
        <v>105</v>
      </c>
      <c r="I452" s="7"/>
      <c r="J452" s="7" t="s">
        <v>90</v>
      </c>
    </row>
    <row r="453">
      <c r="A453" s="22">
        <v>45897</v>
      </c>
      <c r="B453" s="6">
        <v>188</v>
      </c>
      <c r="C453" t="s">
        <v>78</v>
      </c>
      <c r="D453" s="7" t="s">
        <v>27</v>
      </c>
      <c r="E453" s="6">
        <v>3</v>
      </c>
      <c r="F453" s="6" t="s">
        <v>103</v>
      </c>
      <c r="G453" s="6" t="s">
        <v>104</v>
      </c>
      <c r="H453" s="6" t="s">
        <v>105</v>
      </c>
      <c r="I453" s="7"/>
      <c r="J453" s="7" t="s">
        <v>90</v>
      </c>
    </row>
    <row r="454">
      <c r="A454" s="9">
        <v>45904</v>
      </c>
      <c r="B454" s="6">
        <v>229</v>
      </c>
      <c r="C454" t="s">
        <v>78</v>
      </c>
      <c r="D454" s="7" t="s">
        <v>27</v>
      </c>
      <c r="E454" s="6">
        <v>3</v>
      </c>
      <c r="F454" s="6" t="s">
        <v>103</v>
      </c>
      <c r="G454" s="6" t="s">
        <v>104</v>
      </c>
      <c r="H454" s="6" t="s">
        <v>105</v>
      </c>
      <c r="I454" s="7"/>
      <c r="J454" s="7" t="s">
        <v>90</v>
      </c>
    </row>
    <row r="455">
      <c r="A455" s="22">
        <v>45911</v>
      </c>
      <c r="B455" s="6">
        <v>340</v>
      </c>
      <c r="C455" t="s">
        <v>78</v>
      </c>
      <c r="D455" s="7" t="s">
        <v>27</v>
      </c>
      <c r="E455" s="6">
        <v>3</v>
      </c>
      <c r="F455" s="6" t="s">
        <v>103</v>
      </c>
      <c r="G455" s="6" t="s">
        <v>104</v>
      </c>
      <c r="H455" s="6" t="s">
        <v>105</v>
      </c>
      <c r="I455" s="7"/>
      <c r="J455" s="7" t="s">
        <v>90</v>
      </c>
    </row>
    <row r="456">
      <c r="A456" s="22">
        <v>45918</v>
      </c>
      <c r="B456" s="6">
        <v>283</v>
      </c>
      <c r="C456" t="s">
        <v>78</v>
      </c>
      <c r="D456" s="7" t="s">
        <v>27</v>
      </c>
      <c r="E456" s="6">
        <v>3</v>
      </c>
      <c r="F456" s="6" t="s">
        <v>103</v>
      </c>
      <c r="G456" s="6" t="s">
        <v>104</v>
      </c>
      <c r="H456" s="6" t="s">
        <v>105</v>
      </c>
      <c r="I456" s="7"/>
      <c r="J456" s="7" t="s">
        <v>90</v>
      </c>
    </row>
    <row r="457">
      <c r="A457" s="22">
        <v>45925</v>
      </c>
      <c r="B457" s="6">
        <v>359</v>
      </c>
      <c r="C457" t="s">
        <v>78</v>
      </c>
      <c r="D457" s="7" t="s">
        <v>27</v>
      </c>
      <c r="E457" s="6">
        <v>3</v>
      </c>
      <c r="F457" s="6" t="s">
        <v>103</v>
      </c>
      <c r="G457" s="6" t="s">
        <v>104</v>
      </c>
      <c r="H457" s="6" t="s">
        <v>105</v>
      </c>
      <c r="I457" s="7"/>
      <c r="J457" s="7" t="s">
        <v>90</v>
      </c>
    </row>
    <row r="458">
      <c r="A458" s="22">
        <v>45932</v>
      </c>
      <c r="B458" s="6">
        <v>282</v>
      </c>
      <c r="C458" t="s">
        <v>78</v>
      </c>
      <c r="D458" s="7" t="s">
        <v>27</v>
      </c>
      <c r="E458" s="6">
        <v>3</v>
      </c>
      <c r="F458" s="6" t="s">
        <v>103</v>
      </c>
      <c r="G458" s="6" t="s">
        <v>104</v>
      </c>
      <c r="H458" s="6" t="s">
        <v>105</v>
      </c>
      <c r="I458" s="7"/>
      <c r="J458" s="7" t="s">
        <v>90</v>
      </c>
    </row>
    <row r="459">
      <c r="A459" s="22">
        <v>45946</v>
      </c>
      <c r="B459" s="6">
        <v>369</v>
      </c>
      <c r="C459" t="s">
        <v>78</v>
      </c>
      <c r="D459" s="7" t="s">
        <v>27</v>
      </c>
      <c r="E459" s="6">
        <v>3</v>
      </c>
      <c r="F459" s="6" t="s">
        <v>103</v>
      </c>
      <c r="G459" s="6" t="s">
        <v>104</v>
      </c>
      <c r="H459" s="6" t="s">
        <v>105</v>
      </c>
      <c r="I459" s="7"/>
      <c r="J459" s="7" t="s">
        <v>90</v>
      </c>
    </row>
    <row r="460">
      <c r="A460" s="22">
        <v>45953</v>
      </c>
      <c r="B460" s="6">
        <v>369</v>
      </c>
      <c r="C460" t="s">
        <v>78</v>
      </c>
      <c r="D460" s="7" t="s">
        <v>27</v>
      </c>
      <c r="E460" s="6">
        <v>3</v>
      </c>
      <c r="F460" s="6" t="s">
        <v>103</v>
      </c>
      <c r="G460" s="6" t="s">
        <v>104</v>
      </c>
      <c r="H460" s="6" t="s">
        <v>105</v>
      </c>
      <c r="I460" s="7"/>
      <c r="J460" s="7" t="s">
        <v>90</v>
      </c>
    </row>
    <row r="461">
      <c r="A461" s="22">
        <v>45960</v>
      </c>
      <c r="B461" s="6">
        <v>407</v>
      </c>
      <c r="C461" t="s">
        <v>78</v>
      </c>
      <c r="D461" s="7" t="s">
        <v>27</v>
      </c>
      <c r="E461" s="6">
        <v>3</v>
      </c>
      <c r="F461" s="6" t="s">
        <v>103</v>
      </c>
      <c r="G461" s="6" t="s">
        <v>104</v>
      </c>
      <c r="H461" s="6" t="s">
        <v>105</v>
      </c>
      <c r="I461" s="7"/>
      <c r="J461" s="7" t="s">
        <v>90</v>
      </c>
    </row>
    <row r="462">
      <c r="A462" s="22">
        <v>45967</v>
      </c>
      <c r="B462" s="6">
        <v>262</v>
      </c>
      <c r="C462" t="s">
        <v>78</v>
      </c>
      <c r="D462" s="7" t="s">
        <v>27</v>
      </c>
      <c r="E462" s="6">
        <v>3</v>
      </c>
      <c r="F462" s="6" t="s">
        <v>103</v>
      </c>
      <c r="G462" s="6" t="s">
        <v>104</v>
      </c>
      <c r="H462" s="6" t="s">
        <v>105</v>
      </c>
      <c r="I462" s="7"/>
      <c r="J462" s="7" t="s">
        <v>90</v>
      </c>
    </row>
    <row r="463">
      <c r="A463" s="22">
        <v>45974</v>
      </c>
      <c r="B463" s="6">
        <v>360</v>
      </c>
      <c r="C463" t="s">
        <v>78</v>
      </c>
      <c r="D463" s="7" t="s">
        <v>27</v>
      </c>
      <c r="E463" s="6">
        <v>3</v>
      </c>
      <c r="F463" s="6" t="s">
        <v>103</v>
      </c>
      <c r="G463" s="6" t="s">
        <v>104</v>
      </c>
      <c r="H463" s="6" t="s">
        <v>105</v>
      </c>
      <c r="I463" s="7"/>
      <c r="J463" s="7" t="s">
        <v>90</v>
      </c>
    </row>
    <row r="464">
      <c r="A464" s="22">
        <v>45981</v>
      </c>
      <c r="B464" s="6">
        <v>348</v>
      </c>
      <c r="C464" t="s">
        <v>78</v>
      </c>
      <c r="D464" s="7" t="s">
        <v>27</v>
      </c>
      <c r="E464" s="6">
        <v>3</v>
      </c>
      <c r="F464" s="6" t="s">
        <v>103</v>
      </c>
      <c r="G464" s="6" t="s">
        <v>104</v>
      </c>
      <c r="H464" s="6" t="s">
        <v>105</v>
      </c>
      <c r="I464" s="7"/>
      <c r="J464" s="7" t="s">
        <v>90</v>
      </c>
    </row>
    <row r="465">
      <c r="A465" s="22">
        <v>45988</v>
      </c>
      <c r="B465" s="6">
        <v>375</v>
      </c>
      <c r="C465" t="s">
        <v>78</v>
      </c>
      <c r="D465" s="7" t="s">
        <v>27</v>
      </c>
      <c r="E465" s="6">
        <v>3</v>
      </c>
      <c r="F465" s="6" t="s">
        <v>103</v>
      </c>
      <c r="G465" s="6" t="s">
        <v>104</v>
      </c>
      <c r="H465" s="6" t="s">
        <v>105</v>
      </c>
      <c r="I465" s="7"/>
      <c r="J465" s="7" t="s">
        <v>90</v>
      </c>
    </row>
    <row r="466">
      <c r="A466" s="22">
        <v>45995</v>
      </c>
      <c r="B466" s="6">
        <v>281</v>
      </c>
      <c r="C466" t="s">
        <v>78</v>
      </c>
      <c r="D466" s="7" t="s">
        <v>27</v>
      </c>
      <c r="E466" s="6">
        <v>3</v>
      </c>
      <c r="F466" s="6" t="s">
        <v>103</v>
      </c>
      <c r="G466" s="6" t="s">
        <v>104</v>
      </c>
      <c r="H466" s="6" t="s">
        <v>105</v>
      </c>
      <c r="I466" s="7"/>
      <c r="J466" s="7" t="s">
        <v>90</v>
      </c>
    </row>
    <row r="467">
      <c r="A467" s="22">
        <v>46002</v>
      </c>
      <c r="B467" s="6">
        <v>390</v>
      </c>
      <c r="C467" t="s">
        <v>78</v>
      </c>
      <c r="D467" s="7" t="s">
        <v>27</v>
      </c>
      <c r="E467" s="6">
        <v>3</v>
      </c>
      <c r="F467" s="6" t="s">
        <v>103</v>
      </c>
      <c r="G467" s="6" t="s">
        <v>104</v>
      </c>
      <c r="H467" s="6" t="s">
        <v>105</v>
      </c>
      <c r="I467" s="7"/>
      <c r="J467" s="7" t="s">
        <v>90</v>
      </c>
    </row>
    <row r="468">
      <c r="A468" s="22">
        <v>46009</v>
      </c>
      <c r="B468" s="6">
        <v>418</v>
      </c>
      <c r="C468" t="s">
        <v>78</v>
      </c>
      <c r="D468" s="7" t="s">
        <v>27</v>
      </c>
      <c r="E468" s="6">
        <v>3</v>
      </c>
      <c r="F468" s="6" t="s">
        <v>103</v>
      </c>
      <c r="G468" s="6" t="s">
        <v>104</v>
      </c>
      <c r="H468" s="6" t="s">
        <v>105</v>
      </c>
      <c r="I468" s="7"/>
      <c r="J468" s="7" t="s">
        <v>90</v>
      </c>
    </row>
    <row r="469">
      <c r="A469" s="22">
        <v>46016</v>
      </c>
      <c r="B469" s="6">
        <v>504</v>
      </c>
      <c r="C469" t="s">
        <v>78</v>
      </c>
      <c r="D469" s="7" t="s">
        <v>27</v>
      </c>
      <c r="E469" s="6">
        <v>3</v>
      </c>
      <c r="F469" s="6" t="s">
        <v>103</v>
      </c>
      <c r="G469" s="6" t="s">
        <v>104</v>
      </c>
      <c r="H469" s="6" t="s">
        <v>105</v>
      </c>
      <c r="I469" s="7"/>
      <c r="J469" s="7" t="s">
        <v>90</v>
      </c>
    </row>
    <row r="470">
      <c r="A470" s="22">
        <v>46037</v>
      </c>
      <c r="B470" s="6">
        <v>390</v>
      </c>
      <c r="C470" t="s">
        <v>78</v>
      </c>
      <c r="D470" s="7" t="s">
        <v>27</v>
      </c>
      <c r="E470" s="6">
        <v>3</v>
      </c>
      <c r="F470" s="6" t="s">
        <v>103</v>
      </c>
      <c r="G470" s="6" t="s">
        <v>104</v>
      </c>
      <c r="H470" s="6" t="s">
        <v>105</v>
      </c>
      <c r="I470" s="7"/>
      <c r="J470" s="7" t="s">
        <v>90</v>
      </c>
    </row>
    <row r="471">
      <c r="A471" s="22">
        <v>46044</v>
      </c>
      <c r="B471" s="6">
        <v>397</v>
      </c>
      <c r="C471" t="s">
        <v>78</v>
      </c>
      <c r="D471" s="7" t="s">
        <v>27</v>
      </c>
      <c r="E471" s="6">
        <v>3</v>
      </c>
      <c r="F471" s="6" t="s">
        <v>103</v>
      </c>
      <c r="G471" s="6" t="s">
        <v>104</v>
      </c>
      <c r="H471" s="6" t="s">
        <v>105</v>
      </c>
      <c r="I471" s="7"/>
      <c r="J471" s="7" t="s">
        <v>90</v>
      </c>
    </row>
    <row r="472">
      <c r="A472" s="22">
        <v>46051</v>
      </c>
      <c r="B472" s="6">
        <v>382</v>
      </c>
      <c r="C472" t="s">
        <v>78</v>
      </c>
      <c r="D472" s="7" t="s">
        <v>27</v>
      </c>
      <c r="E472" s="6">
        <v>3</v>
      </c>
      <c r="F472" s="6" t="s">
        <v>103</v>
      </c>
      <c r="G472" s="6" t="s">
        <v>104</v>
      </c>
      <c r="H472" s="6" t="s">
        <v>105</v>
      </c>
      <c r="I472" s="7"/>
      <c r="J472" s="7" t="s">
        <v>90</v>
      </c>
    </row>
    <row r="473">
      <c r="A473" s="22">
        <v>46058</v>
      </c>
      <c r="B473" s="6">
        <v>297</v>
      </c>
      <c r="C473" t="s">
        <v>78</v>
      </c>
      <c r="D473" s="7" t="s">
        <v>27</v>
      </c>
      <c r="E473" s="6">
        <v>3</v>
      </c>
      <c r="F473" s="6" t="s">
        <v>103</v>
      </c>
      <c r="G473" s="6" t="s">
        <v>104</v>
      </c>
      <c r="H473" s="6" t="s">
        <v>105</v>
      </c>
      <c r="I473" s="7"/>
      <c r="J473" s="7" t="s">
        <v>90</v>
      </c>
    </row>
    <row r="474">
      <c r="A474" s="22">
        <v>46065</v>
      </c>
      <c r="B474" s="6">
        <v>383</v>
      </c>
      <c r="C474" t="s">
        <v>78</v>
      </c>
      <c r="D474" s="7" t="s">
        <v>27</v>
      </c>
      <c r="E474" s="6">
        <v>3</v>
      </c>
      <c r="F474" s="6" t="s">
        <v>103</v>
      </c>
      <c r="G474" s="6" t="s">
        <v>104</v>
      </c>
      <c r="H474" s="6" t="s">
        <v>105</v>
      </c>
      <c r="I474" s="7"/>
      <c r="J474" s="7" t="s">
        <v>90</v>
      </c>
    </row>
    <row r="475">
      <c r="A475" s="22">
        <v>46072</v>
      </c>
      <c r="B475" s="6">
        <v>296</v>
      </c>
      <c r="C475" t="s">
        <v>78</v>
      </c>
      <c r="D475" s="7" t="s">
        <v>27</v>
      </c>
      <c r="E475" s="6">
        <v>3</v>
      </c>
      <c r="F475" s="6" t="s">
        <v>103</v>
      </c>
      <c r="G475" s="6" t="s">
        <v>104</v>
      </c>
      <c r="H475" s="6" t="s">
        <v>105</v>
      </c>
      <c r="I475" s="7"/>
      <c r="J475" s="7" t="s">
        <v>90</v>
      </c>
    </row>
    <row r="476">
      <c r="A476" s="22">
        <v>46079</v>
      </c>
      <c r="B476" s="6">
        <v>208</v>
      </c>
      <c r="C476" t="s">
        <v>78</v>
      </c>
      <c r="D476" s="7" t="s">
        <v>27</v>
      </c>
      <c r="E476" s="6">
        <v>3</v>
      </c>
      <c r="F476" s="6" t="s">
        <v>103</v>
      </c>
      <c r="G476" s="6" t="s">
        <v>104</v>
      </c>
      <c r="H476" s="6" t="s">
        <v>105</v>
      </c>
      <c r="I476" s="7"/>
      <c r="J476" s="7" t="s">
        <v>90</v>
      </c>
    </row>
    <row r="477">
      <c r="A477" s="22">
        <v>46086</v>
      </c>
      <c r="B477" s="6">
        <v>175</v>
      </c>
      <c r="C477" t="s">
        <v>78</v>
      </c>
      <c r="D477" s="7" t="s">
        <v>27</v>
      </c>
      <c r="E477" s="6">
        <v>3</v>
      </c>
      <c r="F477" s="6" t="s">
        <v>103</v>
      </c>
      <c r="G477" s="6" t="s">
        <v>104</v>
      </c>
      <c r="H477" s="6" t="s">
        <v>105</v>
      </c>
      <c r="I477" s="7"/>
      <c r="J477" s="7" t="s">
        <v>90</v>
      </c>
    </row>
    <row r="478">
      <c r="A478" s="22">
        <v>46093</v>
      </c>
      <c r="B478" s="6">
        <v>250</v>
      </c>
      <c r="C478" t="s">
        <v>78</v>
      </c>
      <c r="D478" s="7" t="s">
        <v>27</v>
      </c>
      <c r="E478" s="6">
        <v>3</v>
      </c>
      <c r="F478" s="6" t="s">
        <v>103</v>
      </c>
      <c r="G478" s="6" t="s">
        <v>104</v>
      </c>
      <c r="H478" s="6" t="s">
        <v>105</v>
      </c>
      <c r="I478" s="7"/>
      <c r="J478" s="7" t="s">
        <v>90</v>
      </c>
    </row>
    <row r="479">
      <c r="A479" s="22">
        <v>46100</v>
      </c>
      <c r="B479" s="6">
        <v>217</v>
      </c>
      <c r="C479" t="s">
        <v>78</v>
      </c>
      <c r="D479" s="7" t="s">
        <v>27</v>
      </c>
      <c r="E479" s="6">
        <v>3</v>
      </c>
      <c r="F479" s="6" t="s">
        <v>103</v>
      </c>
      <c r="G479" s="6" t="s">
        <v>104</v>
      </c>
      <c r="H479" s="6" t="s">
        <v>105</v>
      </c>
      <c r="I479" s="7"/>
      <c r="J479" s="7" t="s">
        <v>90</v>
      </c>
    </row>
    <row r="480">
      <c r="A480" s="22">
        <v>46107</v>
      </c>
      <c r="B480" s="6">
        <v>306</v>
      </c>
      <c r="C480" t="s">
        <v>78</v>
      </c>
      <c r="D480" s="7" t="s">
        <v>27</v>
      </c>
      <c r="E480" s="6">
        <v>3</v>
      </c>
      <c r="F480" s="6" t="s">
        <v>103</v>
      </c>
      <c r="G480" s="6" t="s">
        <v>104</v>
      </c>
      <c r="H480" s="6" t="s">
        <v>105</v>
      </c>
      <c r="I480" s="7"/>
      <c r="J480" s="7" t="s">
        <v>90</v>
      </c>
    </row>
    <row r="481">
      <c r="A481" s="22">
        <v>46114</v>
      </c>
      <c r="B481" s="6">
        <v>208</v>
      </c>
      <c r="C481" t="s">
        <v>78</v>
      </c>
      <c r="D481" s="7" t="s">
        <v>27</v>
      </c>
      <c r="E481" s="6">
        <v>3</v>
      </c>
      <c r="F481" s="6" t="s">
        <v>103</v>
      </c>
      <c r="G481" s="6" t="s">
        <v>104</v>
      </c>
      <c r="H481" s="6" t="s">
        <v>105</v>
      </c>
      <c r="I481" s="7"/>
      <c r="J481" s="7" t="s">
        <v>90</v>
      </c>
    </row>
    <row r="482">
      <c r="A482" s="22">
        <v>46121</v>
      </c>
      <c r="B482" s="6">
        <v>242</v>
      </c>
      <c r="C482" t="s">
        <v>78</v>
      </c>
      <c r="D482" s="7" t="s">
        <v>27</v>
      </c>
      <c r="E482" s="6">
        <v>3</v>
      </c>
      <c r="F482" s="6" t="s">
        <v>103</v>
      </c>
      <c r="G482" s="6" t="s">
        <v>104</v>
      </c>
      <c r="H482" s="6" t="s">
        <v>105</v>
      </c>
      <c r="I482" s="7"/>
      <c r="J482" s="7" t="s">
        <v>90</v>
      </c>
    </row>
    <row r="483">
      <c r="A483" s="9">
        <v>45911</v>
      </c>
      <c r="B483" s="6">
        <v>86</v>
      </c>
      <c r="C483" s="7" t="s">
        <v>32</v>
      </c>
      <c r="D483" t="s">
        <v>33</v>
      </c>
      <c r="E483" s="6">
        <v>2</v>
      </c>
      <c r="F483" s="6" t="s">
        <v>103</v>
      </c>
      <c r="G483" s="6" t="s">
        <v>104</v>
      </c>
      <c r="H483" s="6" t="s">
        <v>105</v>
      </c>
      <c r="K483" t="s">
        <v>135</v>
      </c>
    </row>
    <row r="484">
      <c r="A484" s="9">
        <v>45911</v>
      </c>
      <c r="B484" s="6">
        <v>124</v>
      </c>
      <c r="C484" s="7" t="s">
        <v>32</v>
      </c>
      <c r="D484" t="s">
        <v>33</v>
      </c>
      <c r="E484" s="6">
        <v>2</v>
      </c>
      <c r="F484" s="6" t="s">
        <v>103</v>
      </c>
      <c r="G484" s="6" t="s">
        <v>104</v>
      </c>
      <c r="H484" s="6" t="s">
        <v>105</v>
      </c>
      <c r="K484" t="s">
        <v>136</v>
      </c>
    </row>
    <row r="485">
      <c r="A485" s="9">
        <v>45911</v>
      </c>
      <c r="B485" s="6">
        <v>3</v>
      </c>
      <c r="C485" s="7" t="s">
        <v>32</v>
      </c>
      <c r="D485" s="7" t="s">
        <v>33</v>
      </c>
      <c r="E485" s="6">
        <v>2</v>
      </c>
      <c r="F485" s="6" t="s">
        <v>103</v>
      </c>
      <c r="G485" s="6" t="s">
        <v>104</v>
      </c>
      <c r="H485" s="6" t="s">
        <v>105</v>
      </c>
      <c r="K485" t="s">
        <v>137</v>
      </c>
    </row>
    <row r="486">
      <c r="A486" s="9">
        <v>45911</v>
      </c>
      <c r="B486" s="6">
        <v>24</v>
      </c>
      <c r="C486" s="7" t="s">
        <v>32</v>
      </c>
      <c r="D486" s="7" t="s">
        <v>33</v>
      </c>
      <c r="E486" s="6">
        <v>2</v>
      </c>
      <c r="F486" s="6" t="s">
        <v>103</v>
      </c>
      <c r="G486" s="6" t="s">
        <v>104</v>
      </c>
      <c r="H486" s="6" t="s">
        <v>105</v>
      </c>
      <c r="K486" t="s">
        <v>138</v>
      </c>
    </row>
    <row r="487">
      <c r="A487" s="9">
        <v>45911</v>
      </c>
      <c r="B487" s="6">
        <v>78</v>
      </c>
      <c r="C487" s="7" t="s">
        <v>32</v>
      </c>
      <c r="D487" s="7" t="s">
        <v>33</v>
      </c>
      <c r="E487" s="6">
        <v>2</v>
      </c>
      <c r="F487" s="6" t="s">
        <v>103</v>
      </c>
      <c r="G487" s="6" t="s">
        <v>104</v>
      </c>
      <c r="H487" s="6" t="s">
        <v>105</v>
      </c>
      <c r="K487" t="s">
        <v>139</v>
      </c>
    </row>
    <row r="488">
      <c r="A488" s="22">
        <v>45911</v>
      </c>
      <c r="B488" s="6">
        <v>250</v>
      </c>
      <c r="C488" s="7" t="s">
        <v>32</v>
      </c>
      <c r="D488" s="7" t="s">
        <v>33</v>
      </c>
      <c r="E488" s="6">
        <v>2</v>
      </c>
      <c r="F488" s="6" t="s">
        <v>103</v>
      </c>
      <c r="G488" s="6" t="s">
        <v>104</v>
      </c>
      <c r="H488" s="6" t="s">
        <v>105</v>
      </c>
      <c r="K488" t="s">
        <v>135</v>
      </c>
    </row>
    <row r="489">
      <c r="A489" s="22">
        <v>45911</v>
      </c>
      <c r="B489" s="6">
        <v>155</v>
      </c>
      <c r="C489" s="7" t="s">
        <v>32</v>
      </c>
      <c r="D489" s="7" t="s">
        <v>33</v>
      </c>
      <c r="E489" s="6">
        <v>2</v>
      </c>
      <c r="F489" s="6" t="s">
        <v>103</v>
      </c>
      <c r="G489" s="6" t="s">
        <v>104</v>
      </c>
      <c r="H489" s="6" t="s">
        <v>105</v>
      </c>
      <c r="K489" t="s">
        <v>136</v>
      </c>
    </row>
    <row r="490">
      <c r="A490" s="22">
        <v>45911</v>
      </c>
      <c r="B490" s="6">
        <v>9</v>
      </c>
      <c r="C490" s="7" t="s">
        <v>32</v>
      </c>
      <c r="D490" s="7" t="s">
        <v>33</v>
      </c>
      <c r="E490" s="6">
        <v>2</v>
      </c>
      <c r="F490" s="6" t="s">
        <v>103</v>
      </c>
      <c r="G490" s="6" t="s">
        <v>104</v>
      </c>
      <c r="H490" s="6" t="s">
        <v>105</v>
      </c>
      <c r="K490" t="s">
        <v>137</v>
      </c>
    </row>
    <row r="491">
      <c r="A491" s="22">
        <v>45911</v>
      </c>
      <c r="B491" s="6">
        <v>47</v>
      </c>
      <c r="C491" s="7" t="s">
        <v>32</v>
      </c>
      <c r="D491" s="7" t="s">
        <v>33</v>
      </c>
      <c r="E491" s="6">
        <v>2</v>
      </c>
      <c r="F491" s="6" t="s">
        <v>103</v>
      </c>
      <c r="G491" s="6" t="s">
        <v>104</v>
      </c>
      <c r="H491" s="6" t="s">
        <v>105</v>
      </c>
      <c r="K491" t="s">
        <v>138</v>
      </c>
    </row>
    <row r="492">
      <c r="A492" s="22">
        <v>45911</v>
      </c>
      <c r="B492" s="6">
        <v>148</v>
      </c>
      <c r="C492" s="7" t="s">
        <v>32</v>
      </c>
      <c r="D492" s="7" t="s">
        <v>33</v>
      </c>
      <c r="E492" s="6">
        <v>2</v>
      </c>
      <c r="F492" s="6" t="s">
        <v>103</v>
      </c>
      <c r="G492" s="6" t="s">
        <v>104</v>
      </c>
      <c r="H492" s="6" t="s">
        <v>105</v>
      </c>
      <c r="K492" t="s">
        <v>139</v>
      </c>
    </row>
    <row r="493">
      <c r="A493" s="9">
        <v>45918</v>
      </c>
      <c r="B493" s="6">
        <v>331</v>
      </c>
      <c r="C493" s="7" t="s">
        <v>32</v>
      </c>
      <c r="D493" s="7" t="s">
        <v>33</v>
      </c>
      <c r="E493" s="6">
        <v>2</v>
      </c>
      <c r="F493" s="6" t="s">
        <v>103</v>
      </c>
      <c r="G493" s="6" t="s">
        <v>104</v>
      </c>
      <c r="H493" s="6" t="s">
        <v>105</v>
      </c>
      <c r="K493" t="s">
        <v>135</v>
      </c>
    </row>
    <row r="494">
      <c r="A494" s="9">
        <v>45918</v>
      </c>
      <c r="B494" s="6">
        <v>340</v>
      </c>
      <c r="C494" s="7" t="s">
        <v>32</v>
      </c>
      <c r="D494" s="7" t="s">
        <v>33</v>
      </c>
      <c r="E494" s="6">
        <v>2</v>
      </c>
      <c r="F494" s="6" t="s">
        <v>103</v>
      </c>
      <c r="G494" s="6" t="s">
        <v>104</v>
      </c>
      <c r="H494" s="6" t="s">
        <v>105</v>
      </c>
      <c r="K494" t="s">
        <v>136</v>
      </c>
    </row>
    <row r="495">
      <c r="A495" s="9">
        <v>45918</v>
      </c>
      <c r="B495" s="6">
        <v>13</v>
      </c>
      <c r="C495" s="7" t="s">
        <v>32</v>
      </c>
      <c r="D495" s="7" t="s">
        <v>33</v>
      </c>
      <c r="E495" s="6">
        <v>2</v>
      </c>
      <c r="F495" s="6" t="s">
        <v>103</v>
      </c>
      <c r="G495" s="6" t="s">
        <v>104</v>
      </c>
      <c r="H495" s="6" t="s">
        <v>105</v>
      </c>
      <c r="K495" t="s">
        <v>137</v>
      </c>
    </row>
    <row r="496">
      <c r="A496" s="9">
        <v>45918</v>
      </c>
      <c r="B496" s="6">
        <v>65</v>
      </c>
      <c r="C496" s="7" t="s">
        <v>32</v>
      </c>
      <c r="D496" s="7" t="s">
        <v>33</v>
      </c>
      <c r="E496" s="6">
        <v>2</v>
      </c>
      <c r="F496" s="6" t="s">
        <v>103</v>
      </c>
      <c r="G496" s="6" t="s">
        <v>104</v>
      </c>
      <c r="H496" s="6" t="s">
        <v>105</v>
      </c>
      <c r="K496" t="s">
        <v>138</v>
      </c>
    </row>
    <row r="497">
      <c r="A497" s="9">
        <v>45918</v>
      </c>
      <c r="B497" s="6">
        <v>238</v>
      </c>
      <c r="C497" s="7" t="s">
        <v>32</v>
      </c>
      <c r="D497" s="7" t="s">
        <v>33</v>
      </c>
      <c r="E497" s="6">
        <v>2</v>
      </c>
      <c r="F497" s="6" t="s">
        <v>103</v>
      </c>
      <c r="G497" s="6" t="s">
        <v>104</v>
      </c>
      <c r="H497" s="6" t="s">
        <v>105</v>
      </c>
      <c r="K497" t="s">
        <v>139</v>
      </c>
    </row>
    <row r="498">
      <c r="A498" s="9">
        <v>45925</v>
      </c>
      <c r="B498" s="6">
        <v>276</v>
      </c>
      <c r="C498" s="7" t="s">
        <v>32</v>
      </c>
      <c r="D498" s="7" t="s">
        <v>33</v>
      </c>
      <c r="E498" s="6">
        <v>2</v>
      </c>
      <c r="F498" s="6" t="s">
        <v>103</v>
      </c>
      <c r="G498" s="6" t="s">
        <v>104</v>
      </c>
      <c r="H498" s="6" t="s">
        <v>105</v>
      </c>
      <c r="K498" t="s">
        <v>135</v>
      </c>
    </row>
    <row r="499">
      <c r="A499" s="9">
        <v>45925</v>
      </c>
      <c r="B499" s="6">
        <v>314</v>
      </c>
      <c r="C499" s="7" t="s">
        <v>32</v>
      </c>
      <c r="D499" s="7" t="s">
        <v>33</v>
      </c>
      <c r="E499" s="6">
        <v>2</v>
      </c>
      <c r="F499" s="6" t="s">
        <v>103</v>
      </c>
      <c r="G499" s="6" t="s">
        <v>104</v>
      </c>
      <c r="H499" s="6" t="s">
        <v>105</v>
      </c>
      <c r="K499" t="s">
        <v>136</v>
      </c>
    </row>
    <row r="500">
      <c r="A500" s="9">
        <v>45925</v>
      </c>
      <c r="B500" s="6">
        <v>8</v>
      </c>
      <c r="C500" s="7" t="s">
        <v>32</v>
      </c>
      <c r="D500" s="7" t="s">
        <v>33</v>
      </c>
      <c r="E500" s="6">
        <v>2</v>
      </c>
      <c r="F500" s="6" t="s">
        <v>103</v>
      </c>
      <c r="G500" s="6" t="s">
        <v>104</v>
      </c>
      <c r="H500" s="6" t="s">
        <v>105</v>
      </c>
      <c r="K500" t="s">
        <v>137</v>
      </c>
    </row>
    <row r="501">
      <c r="A501" s="9">
        <v>45925</v>
      </c>
      <c r="B501" s="6">
        <v>79</v>
      </c>
      <c r="C501" s="7" t="s">
        <v>32</v>
      </c>
      <c r="D501" s="7" t="s">
        <v>33</v>
      </c>
      <c r="E501" s="6">
        <v>2</v>
      </c>
      <c r="F501" s="6" t="s">
        <v>103</v>
      </c>
      <c r="G501" s="6" t="s">
        <v>104</v>
      </c>
      <c r="H501" s="6" t="s">
        <v>105</v>
      </c>
      <c r="K501" t="s">
        <v>138</v>
      </c>
    </row>
    <row r="502">
      <c r="A502" s="9">
        <v>45925</v>
      </c>
      <c r="B502" s="6">
        <v>220</v>
      </c>
      <c r="C502" s="7" t="s">
        <v>32</v>
      </c>
      <c r="D502" s="7" t="s">
        <v>33</v>
      </c>
      <c r="E502" s="6">
        <v>2</v>
      </c>
      <c r="F502" s="6" t="s">
        <v>103</v>
      </c>
      <c r="G502" s="6" t="s">
        <v>104</v>
      </c>
      <c r="H502" s="6" t="s">
        <v>105</v>
      </c>
      <c r="K502" t="s">
        <v>139</v>
      </c>
    </row>
    <row r="503">
      <c r="A503" s="9">
        <v>45932</v>
      </c>
      <c r="B503" s="6">
        <v>292</v>
      </c>
      <c r="C503" s="7" t="s">
        <v>32</v>
      </c>
      <c r="D503" s="7" t="s">
        <v>33</v>
      </c>
      <c r="E503" s="6">
        <v>2</v>
      </c>
      <c r="F503" s="6" t="s">
        <v>103</v>
      </c>
      <c r="G503" s="6" t="s">
        <v>104</v>
      </c>
      <c r="H503" s="6" t="s">
        <v>105</v>
      </c>
      <c r="K503" t="s">
        <v>135</v>
      </c>
    </row>
    <row r="504">
      <c r="A504" s="9">
        <v>45932</v>
      </c>
      <c r="B504" s="6">
        <v>297</v>
      </c>
      <c r="C504" s="7" t="s">
        <v>32</v>
      </c>
      <c r="D504" s="7" t="s">
        <v>33</v>
      </c>
      <c r="E504" s="6">
        <v>2</v>
      </c>
      <c r="F504" s="6" t="s">
        <v>103</v>
      </c>
      <c r="G504" s="6" t="s">
        <v>104</v>
      </c>
      <c r="H504" s="6" t="s">
        <v>105</v>
      </c>
      <c r="K504" t="s">
        <v>136</v>
      </c>
    </row>
    <row r="505">
      <c r="A505" s="9">
        <v>45932</v>
      </c>
      <c r="B505" s="6">
        <v>6</v>
      </c>
      <c r="C505" s="7" t="s">
        <v>32</v>
      </c>
      <c r="D505" s="7" t="s">
        <v>33</v>
      </c>
      <c r="E505" s="6">
        <v>2</v>
      </c>
      <c r="F505" s="6" t="s">
        <v>103</v>
      </c>
      <c r="G505" s="6" t="s">
        <v>104</v>
      </c>
      <c r="H505" s="6" t="s">
        <v>105</v>
      </c>
      <c r="K505" t="s">
        <v>137</v>
      </c>
    </row>
    <row r="506">
      <c r="A506" s="9">
        <v>45932</v>
      </c>
      <c r="B506" s="6">
        <v>77</v>
      </c>
      <c r="C506" s="7" t="s">
        <v>32</v>
      </c>
      <c r="D506" s="7" t="s">
        <v>33</v>
      </c>
      <c r="E506" s="6">
        <v>2</v>
      </c>
      <c r="F506" s="6" t="s">
        <v>103</v>
      </c>
      <c r="G506" s="6" t="s">
        <v>104</v>
      </c>
      <c r="H506" s="6" t="s">
        <v>105</v>
      </c>
      <c r="K506" t="s">
        <v>138</v>
      </c>
    </row>
    <row r="507">
      <c r="A507" s="9">
        <v>45932</v>
      </c>
      <c r="B507" s="6">
        <v>182</v>
      </c>
      <c r="C507" s="7" t="s">
        <v>32</v>
      </c>
      <c r="D507" s="7" t="s">
        <v>33</v>
      </c>
      <c r="E507" s="6">
        <v>2</v>
      </c>
      <c r="F507" s="6" t="s">
        <v>103</v>
      </c>
      <c r="G507" s="6" t="s">
        <v>104</v>
      </c>
      <c r="H507" s="6" t="s">
        <v>105</v>
      </c>
      <c r="K507" t="s">
        <v>139</v>
      </c>
    </row>
    <row r="508">
      <c r="A508" s="9">
        <v>45939</v>
      </c>
      <c r="B508" s="6">
        <v>239</v>
      </c>
      <c r="C508" s="7" t="s">
        <v>32</v>
      </c>
      <c r="D508" s="7" t="s">
        <v>33</v>
      </c>
      <c r="E508" s="6">
        <v>2</v>
      </c>
      <c r="F508" s="6" t="s">
        <v>103</v>
      </c>
      <c r="G508" s="6" t="s">
        <v>104</v>
      </c>
      <c r="H508" s="6" t="s">
        <v>105</v>
      </c>
      <c r="K508" t="s">
        <v>135</v>
      </c>
    </row>
    <row r="509">
      <c r="A509" s="9">
        <v>45939</v>
      </c>
      <c r="B509" s="6">
        <v>230</v>
      </c>
      <c r="C509" s="7" t="s">
        <v>32</v>
      </c>
      <c r="D509" s="7" t="s">
        <v>33</v>
      </c>
      <c r="E509" s="6">
        <v>2</v>
      </c>
      <c r="F509" s="6" t="s">
        <v>103</v>
      </c>
      <c r="G509" s="6" t="s">
        <v>104</v>
      </c>
      <c r="H509" s="6" t="s">
        <v>105</v>
      </c>
      <c r="K509" t="s">
        <v>136</v>
      </c>
    </row>
    <row r="510">
      <c r="A510" s="9">
        <v>45939</v>
      </c>
      <c r="B510" s="6">
        <v>4</v>
      </c>
      <c r="C510" s="7" t="s">
        <v>32</v>
      </c>
      <c r="D510" s="7" t="s">
        <v>33</v>
      </c>
      <c r="E510" s="6">
        <v>2</v>
      </c>
      <c r="F510" s="6" t="s">
        <v>103</v>
      </c>
      <c r="G510" s="6" t="s">
        <v>104</v>
      </c>
      <c r="H510" s="6" t="s">
        <v>105</v>
      </c>
      <c r="K510" t="s">
        <v>137</v>
      </c>
    </row>
    <row r="511">
      <c r="A511" s="9">
        <v>45939</v>
      </c>
      <c r="B511" s="6">
        <v>67</v>
      </c>
      <c r="C511" s="7" t="s">
        <v>32</v>
      </c>
      <c r="D511" s="7" t="s">
        <v>33</v>
      </c>
      <c r="E511" s="6">
        <v>2</v>
      </c>
      <c r="F511" s="6" t="s">
        <v>103</v>
      </c>
      <c r="G511" s="6" t="s">
        <v>104</v>
      </c>
      <c r="H511" s="6" t="s">
        <v>105</v>
      </c>
      <c r="K511" t="s">
        <v>138</v>
      </c>
    </row>
    <row r="512">
      <c r="A512" s="9">
        <v>45939</v>
      </c>
      <c r="B512" s="6">
        <v>148</v>
      </c>
      <c r="C512" s="7" t="s">
        <v>32</v>
      </c>
      <c r="D512" s="7" t="s">
        <v>33</v>
      </c>
      <c r="E512" s="6">
        <v>2</v>
      </c>
      <c r="F512" s="6" t="s">
        <v>103</v>
      </c>
      <c r="G512" s="6" t="s">
        <v>104</v>
      </c>
      <c r="H512" s="6" t="s">
        <v>105</v>
      </c>
      <c r="K512" t="s">
        <v>139</v>
      </c>
    </row>
    <row r="513">
      <c r="A513" s="9">
        <v>45946</v>
      </c>
      <c r="B513" s="6">
        <v>238</v>
      </c>
      <c r="C513" s="7" t="s">
        <v>32</v>
      </c>
      <c r="D513" s="7" t="s">
        <v>33</v>
      </c>
      <c r="E513" s="6">
        <v>2</v>
      </c>
      <c r="F513" s="6" t="s">
        <v>103</v>
      </c>
      <c r="G513" s="6" t="s">
        <v>104</v>
      </c>
      <c r="H513" s="6" t="s">
        <v>105</v>
      </c>
      <c r="K513" t="s">
        <v>135</v>
      </c>
    </row>
    <row r="514">
      <c r="A514" s="9">
        <v>45946</v>
      </c>
      <c r="B514" s="6">
        <v>223</v>
      </c>
      <c r="C514" s="7" t="s">
        <v>32</v>
      </c>
      <c r="D514" s="7" t="s">
        <v>33</v>
      </c>
      <c r="E514" s="6">
        <v>2</v>
      </c>
      <c r="F514" s="6" t="s">
        <v>103</v>
      </c>
      <c r="G514" s="6" t="s">
        <v>104</v>
      </c>
      <c r="H514" s="6" t="s">
        <v>105</v>
      </c>
      <c r="K514" t="s">
        <v>136</v>
      </c>
    </row>
    <row r="515">
      <c r="A515" s="9">
        <v>45946</v>
      </c>
      <c r="B515" s="6">
        <v>11</v>
      </c>
      <c r="C515" s="7" t="s">
        <v>32</v>
      </c>
      <c r="D515" s="7" t="s">
        <v>33</v>
      </c>
      <c r="E515" s="6">
        <v>2</v>
      </c>
      <c r="F515" s="6" t="s">
        <v>103</v>
      </c>
      <c r="G515" s="6" t="s">
        <v>104</v>
      </c>
      <c r="H515" s="6" t="s">
        <v>105</v>
      </c>
      <c r="K515" t="s">
        <v>137</v>
      </c>
    </row>
    <row r="516">
      <c r="A516" s="9">
        <v>45946</v>
      </c>
      <c r="B516" s="6">
        <v>53</v>
      </c>
      <c r="C516" s="7" t="s">
        <v>32</v>
      </c>
      <c r="D516" s="7" t="s">
        <v>33</v>
      </c>
      <c r="E516" s="6">
        <v>2</v>
      </c>
      <c r="F516" s="6" t="s">
        <v>103</v>
      </c>
      <c r="G516" s="6" t="s">
        <v>104</v>
      </c>
      <c r="H516" s="6" t="s">
        <v>105</v>
      </c>
      <c r="K516" t="s">
        <v>138</v>
      </c>
    </row>
    <row r="517">
      <c r="A517" s="9">
        <v>45946</v>
      </c>
      <c r="B517" s="6">
        <v>158</v>
      </c>
      <c r="C517" s="7" t="s">
        <v>32</v>
      </c>
      <c r="D517" s="7" t="s">
        <v>33</v>
      </c>
      <c r="E517" s="6">
        <v>2</v>
      </c>
      <c r="F517" s="6" t="s">
        <v>103</v>
      </c>
      <c r="G517" s="6" t="s">
        <v>104</v>
      </c>
      <c r="H517" s="6" t="s">
        <v>105</v>
      </c>
      <c r="K517" t="s">
        <v>139</v>
      </c>
    </row>
    <row r="518">
      <c r="A518" s="9">
        <v>45953</v>
      </c>
      <c r="B518" s="6">
        <v>278</v>
      </c>
      <c r="C518" s="7" t="s">
        <v>32</v>
      </c>
      <c r="D518" s="7" t="s">
        <v>33</v>
      </c>
      <c r="E518" s="6">
        <v>2</v>
      </c>
      <c r="F518" s="6" t="s">
        <v>103</v>
      </c>
      <c r="G518" s="6" t="s">
        <v>104</v>
      </c>
      <c r="H518" s="6" t="s">
        <v>105</v>
      </c>
      <c r="K518" t="s">
        <v>135</v>
      </c>
    </row>
    <row r="519">
      <c r="A519" s="9">
        <v>45953</v>
      </c>
      <c r="B519" s="6">
        <v>279</v>
      </c>
      <c r="C519" s="7" t="s">
        <v>32</v>
      </c>
      <c r="D519" s="7" t="s">
        <v>33</v>
      </c>
      <c r="E519" s="6">
        <v>2</v>
      </c>
      <c r="F519" s="6" t="s">
        <v>103</v>
      </c>
      <c r="G519" s="6" t="s">
        <v>104</v>
      </c>
      <c r="H519" s="6" t="s">
        <v>105</v>
      </c>
      <c r="K519" t="s">
        <v>136</v>
      </c>
    </row>
    <row r="520">
      <c r="A520" s="9">
        <v>45953</v>
      </c>
      <c r="B520" s="6">
        <v>6</v>
      </c>
      <c r="C520" s="7" t="s">
        <v>32</v>
      </c>
      <c r="D520" s="7" t="s">
        <v>33</v>
      </c>
      <c r="E520" s="6">
        <v>2</v>
      </c>
      <c r="F520" s="6" t="s">
        <v>103</v>
      </c>
      <c r="G520" s="6" t="s">
        <v>104</v>
      </c>
      <c r="H520" s="6" t="s">
        <v>105</v>
      </c>
      <c r="K520" t="s">
        <v>137</v>
      </c>
    </row>
    <row r="521">
      <c r="A521" s="9">
        <v>45953</v>
      </c>
      <c r="B521" s="6">
        <v>67</v>
      </c>
      <c r="C521" s="7" t="s">
        <v>32</v>
      </c>
      <c r="D521" s="7" t="s">
        <v>33</v>
      </c>
      <c r="E521" s="6">
        <v>2</v>
      </c>
      <c r="F521" s="6" t="s">
        <v>103</v>
      </c>
      <c r="G521" s="6" t="s">
        <v>104</v>
      </c>
      <c r="H521" s="6" t="s">
        <v>105</v>
      </c>
      <c r="K521" t="s">
        <v>138</v>
      </c>
    </row>
    <row r="522">
      <c r="A522" s="9">
        <v>45953</v>
      </c>
      <c r="B522" s="6">
        <v>176</v>
      </c>
      <c r="C522" s="7" t="s">
        <v>32</v>
      </c>
      <c r="D522" s="7" t="s">
        <v>33</v>
      </c>
      <c r="E522" s="6">
        <v>2</v>
      </c>
      <c r="F522" s="6" t="s">
        <v>103</v>
      </c>
      <c r="G522" s="6" t="s">
        <v>104</v>
      </c>
      <c r="H522" s="6" t="s">
        <v>105</v>
      </c>
      <c r="K522" t="s">
        <v>139</v>
      </c>
    </row>
    <row r="523">
      <c r="A523" s="9">
        <v>45960</v>
      </c>
      <c r="B523" s="6">
        <v>218</v>
      </c>
      <c r="C523" s="7" t="s">
        <v>32</v>
      </c>
      <c r="D523" s="7" t="s">
        <v>33</v>
      </c>
      <c r="E523" s="6">
        <v>2</v>
      </c>
      <c r="F523" s="6" t="s">
        <v>103</v>
      </c>
      <c r="G523" s="6" t="s">
        <v>104</v>
      </c>
      <c r="H523" s="6" t="s">
        <v>105</v>
      </c>
      <c r="K523" t="s">
        <v>135</v>
      </c>
    </row>
    <row r="524">
      <c r="A524" s="9">
        <v>45960</v>
      </c>
      <c r="B524" s="6">
        <v>216</v>
      </c>
      <c r="C524" s="7" t="s">
        <v>32</v>
      </c>
      <c r="D524" s="7" t="s">
        <v>33</v>
      </c>
      <c r="E524" s="6">
        <v>2</v>
      </c>
      <c r="F524" s="6" t="s">
        <v>103</v>
      </c>
      <c r="G524" s="6" t="s">
        <v>104</v>
      </c>
      <c r="H524" s="6" t="s">
        <v>105</v>
      </c>
      <c r="K524" t="s">
        <v>136</v>
      </c>
    </row>
    <row r="525">
      <c r="A525" s="9">
        <v>45960</v>
      </c>
      <c r="B525" s="6">
        <v>4</v>
      </c>
      <c r="C525" s="7" t="s">
        <v>32</v>
      </c>
      <c r="D525" s="7" t="s">
        <v>33</v>
      </c>
      <c r="E525" s="6">
        <v>2</v>
      </c>
      <c r="F525" s="6" t="s">
        <v>103</v>
      </c>
      <c r="G525" s="6" t="s">
        <v>104</v>
      </c>
      <c r="H525" s="6" t="s">
        <v>105</v>
      </c>
      <c r="K525" t="s">
        <v>137</v>
      </c>
    </row>
    <row r="526">
      <c r="A526" s="9">
        <v>45960</v>
      </c>
      <c r="B526" s="6">
        <v>49</v>
      </c>
      <c r="C526" s="7" t="s">
        <v>32</v>
      </c>
      <c r="D526" s="7" t="s">
        <v>33</v>
      </c>
      <c r="E526" s="6">
        <v>2</v>
      </c>
      <c r="F526" s="6" t="s">
        <v>103</v>
      </c>
      <c r="G526" s="6" t="s">
        <v>104</v>
      </c>
      <c r="H526" s="6" t="s">
        <v>105</v>
      </c>
      <c r="K526" t="s">
        <v>138</v>
      </c>
    </row>
    <row r="527">
      <c r="A527" s="9">
        <v>45960</v>
      </c>
      <c r="B527" s="6">
        <v>147</v>
      </c>
      <c r="C527" s="7" t="s">
        <v>32</v>
      </c>
      <c r="D527" s="7" t="s">
        <v>33</v>
      </c>
      <c r="E527" s="6">
        <v>2</v>
      </c>
      <c r="F527" s="6" t="s">
        <v>103</v>
      </c>
      <c r="G527" s="6" t="s">
        <v>104</v>
      </c>
      <c r="H527" s="6" t="s">
        <v>105</v>
      </c>
      <c r="K527" t="s">
        <v>139</v>
      </c>
    </row>
    <row r="528">
      <c r="A528" s="9">
        <v>45967</v>
      </c>
      <c r="B528" s="6">
        <v>206</v>
      </c>
      <c r="C528" s="7" t="s">
        <v>32</v>
      </c>
      <c r="D528" s="7" t="s">
        <v>33</v>
      </c>
      <c r="E528" s="6">
        <v>2</v>
      </c>
      <c r="F528" s="6" t="s">
        <v>103</v>
      </c>
      <c r="G528" s="6" t="s">
        <v>104</v>
      </c>
      <c r="H528" s="6" t="s">
        <v>105</v>
      </c>
      <c r="K528" t="s">
        <v>135</v>
      </c>
    </row>
    <row r="529">
      <c r="A529" s="9">
        <v>45967</v>
      </c>
      <c r="B529" s="6">
        <v>211</v>
      </c>
      <c r="C529" s="7" t="s">
        <v>32</v>
      </c>
      <c r="D529" s="7" t="s">
        <v>33</v>
      </c>
      <c r="E529" s="6">
        <v>2</v>
      </c>
      <c r="F529" s="6" t="s">
        <v>103</v>
      </c>
      <c r="G529" s="6" t="s">
        <v>104</v>
      </c>
      <c r="H529" s="6" t="s">
        <v>105</v>
      </c>
      <c r="K529" t="s">
        <v>136</v>
      </c>
    </row>
    <row r="530">
      <c r="A530" s="9">
        <v>45967</v>
      </c>
      <c r="B530" s="6">
        <v>7</v>
      </c>
      <c r="C530" s="7" t="s">
        <v>32</v>
      </c>
      <c r="D530" s="7" t="s">
        <v>33</v>
      </c>
      <c r="E530" s="6">
        <v>2</v>
      </c>
      <c r="F530" s="6" t="s">
        <v>103</v>
      </c>
      <c r="G530" s="6" t="s">
        <v>104</v>
      </c>
      <c r="H530" s="6" t="s">
        <v>105</v>
      </c>
      <c r="K530" t="s">
        <v>137</v>
      </c>
    </row>
    <row r="531">
      <c r="A531" s="9">
        <v>45967</v>
      </c>
      <c r="B531" s="6">
        <v>36</v>
      </c>
      <c r="C531" s="7" t="s">
        <v>32</v>
      </c>
      <c r="D531" s="7" t="s">
        <v>33</v>
      </c>
      <c r="E531" s="6">
        <v>2</v>
      </c>
      <c r="F531" s="6" t="s">
        <v>103</v>
      </c>
      <c r="G531" s="6" t="s">
        <v>104</v>
      </c>
      <c r="H531" s="6" t="s">
        <v>105</v>
      </c>
      <c r="K531" t="s">
        <v>138</v>
      </c>
    </row>
    <row r="532">
      <c r="A532" s="9">
        <v>45967</v>
      </c>
      <c r="B532" s="6">
        <v>144</v>
      </c>
      <c r="C532" s="7" t="s">
        <v>32</v>
      </c>
      <c r="D532" s="7" t="s">
        <v>33</v>
      </c>
      <c r="E532" s="6">
        <v>2</v>
      </c>
      <c r="F532" s="6" t="s">
        <v>103</v>
      </c>
      <c r="G532" s="6" t="s">
        <v>104</v>
      </c>
      <c r="H532" s="6" t="s">
        <v>105</v>
      </c>
      <c r="K532" t="s">
        <v>139</v>
      </c>
    </row>
    <row r="533">
      <c r="A533" s="9">
        <v>45974</v>
      </c>
      <c r="B533" s="6">
        <v>292</v>
      </c>
      <c r="C533" s="7" t="s">
        <v>32</v>
      </c>
      <c r="D533" s="7" t="s">
        <v>33</v>
      </c>
      <c r="E533" s="6">
        <v>2</v>
      </c>
      <c r="F533" s="6" t="s">
        <v>103</v>
      </c>
      <c r="G533" s="6" t="s">
        <v>104</v>
      </c>
      <c r="H533" s="6" t="s">
        <v>105</v>
      </c>
      <c r="K533" t="s">
        <v>135</v>
      </c>
    </row>
    <row r="534">
      <c r="A534" s="9">
        <v>45974</v>
      </c>
      <c r="B534" s="6">
        <v>226</v>
      </c>
      <c r="C534" s="7" t="s">
        <v>32</v>
      </c>
      <c r="D534" s="7" t="s">
        <v>33</v>
      </c>
      <c r="E534" s="6">
        <v>2</v>
      </c>
      <c r="F534" s="6" t="s">
        <v>103</v>
      </c>
      <c r="G534" s="6" t="s">
        <v>104</v>
      </c>
      <c r="H534" s="6" t="s">
        <v>105</v>
      </c>
      <c r="K534" t="s">
        <v>136</v>
      </c>
    </row>
    <row r="535">
      <c r="A535" s="9">
        <v>45974</v>
      </c>
      <c r="B535" s="6">
        <v>7</v>
      </c>
      <c r="C535" s="7" t="s">
        <v>32</v>
      </c>
      <c r="D535" s="7" t="s">
        <v>33</v>
      </c>
      <c r="E535" s="6">
        <v>2</v>
      </c>
      <c r="F535" s="6" t="s">
        <v>103</v>
      </c>
      <c r="G535" s="6" t="s">
        <v>104</v>
      </c>
      <c r="H535" s="6" t="s">
        <v>105</v>
      </c>
      <c r="K535" t="s">
        <v>137</v>
      </c>
    </row>
    <row r="536">
      <c r="A536" s="9">
        <v>45974</v>
      </c>
      <c r="B536" s="6">
        <v>46</v>
      </c>
      <c r="C536" s="7" t="s">
        <v>32</v>
      </c>
      <c r="D536" s="7" t="s">
        <v>33</v>
      </c>
      <c r="E536" s="6">
        <v>2</v>
      </c>
      <c r="F536" s="6" t="s">
        <v>103</v>
      </c>
      <c r="G536" s="6" t="s">
        <v>104</v>
      </c>
      <c r="H536" s="6" t="s">
        <v>105</v>
      </c>
      <c r="K536" t="s">
        <v>138</v>
      </c>
    </row>
    <row r="537">
      <c r="A537" s="9">
        <v>45974</v>
      </c>
      <c r="B537" s="6">
        <v>243</v>
      </c>
      <c r="C537" s="7" t="s">
        <v>32</v>
      </c>
      <c r="D537" s="7" t="s">
        <v>33</v>
      </c>
      <c r="E537" s="6">
        <v>2</v>
      </c>
      <c r="F537" s="6" t="s">
        <v>103</v>
      </c>
      <c r="G537" s="6" t="s">
        <v>104</v>
      </c>
      <c r="H537" s="6" t="s">
        <v>105</v>
      </c>
      <c r="K537" t="s">
        <v>139</v>
      </c>
    </row>
    <row r="538">
      <c r="A538" s="9">
        <v>45981</v>
      </c>
      <c r="B538" s="6">
        <v>2</v>
      </c>
      <c r="C538" s="7" t="s">
        <v>32</v>
      </c>
      <c r="D538" s="7" t="s">
        <v>33</v>
      </c>
      <c r="E538" s="6">
        <v>2</v>
      </c>
      <c r="F538" s="6" t="s">
        <v>103</v>
      </c>
      <c r="G538" s="6" t="s">
        <v>104</v>
      </c>
      <c r="H538" s="6" t="s">
        <v>105</v>
      </c>
      <c r="K538" t="s">
        <v>140</v>
      </c>
    </row>
    <row r="539">
      <c r="A539" s="9">
        <v>45981</v>
      </c>
      <c r="B539" s="6">
        <v>325</v>
      </c>
      <c r="C539" s="7" t="s">
        <v>32</v>
      </c>
      <c r="D539" s="7" t="s">
        <v>33</v>
      </c>
      <c r="E539" s="6">
        <v>2</v>
      </c>
      <c r="F539" s="6" t="s">
        <v>103</v>
      </c>
      <c r="G539" s="6" t="s">
        <v>104</v>
      </c>
      <c r="H539" s="6" t="s">
        <v>105</v>
      </c>
      <c r="K539" t="s">
        <v>135</v>
      </c>
    </row>
    <row r="540">
      <c r="A540" s="9">
        <v>45981</v>
      </c>
      <c r="B540" s="6">
        <v>274</v>
      </c>
      <c r="C540" s="7" t="s">
        <v>32</v>
      </c>
      <c r="D540" s="7" t="s">
        <v>33</v>
      </c>
      <c r="E540" s="6">
        <v>2</v>
      </c>
      <c r="F540" s="6" t="s">
        <v>103</v>
      </c>
      <c r="G540" s="6" t="s">
        <v>104</v>
      </c>
      <c r="H540" s="6" t="s">
        <v>105</v>
      </c>
      <c r="K540" t="s">
        <v>136</v>
      </c>
    </row>
    <row r="541">
      <c r="A541" s="9">
        <v>45981</v>
      </c>
      <c r="B541" s="6">
        <v>13</v>
      </c>
      <c r="C541" s="7" t="s">
        <v>32</v>
      </c>
      <c r="D541" s="7" t="s">
        <v>33</v>
      </c>
      <c r="E541" s="6">
        <v>2</v>
      </c>
      <c r="F541" s="6" t="s">
        <v>103</v>
      </c>
      <c r="G541" s="6" t="s">
        <v>104</v>
      </c>
      <c r="H541" s="6" t="s">
        <v>105</v>
      </c>
      <c r="K541" t="s">
        <v>137</v>
      </c>
    </row>
    <row r="542">
      <c r="A542" s="9">
        <v>45981</v>
      </c>
      <c r="B542" s="6">
        <v>82</v>
      </c>
      <c r="C542" s="7" t="s">
        <v>32</v>
      </c>
      <c r="D542" s="7" t="s">
        <v>33</v>
      </c>
      <c r="E542" s="6">
        <v>2</v>
      </c>
      <c r="F542" s="6" t="s">
        <v>103</v>
      </c>
      <c r="G542" s="6" t="s">
        <v>104</v>
      </c>
      <c r="H542" s="6" t="s">
        <v>105</v>
      </c>
      <c r="K542" t="s">
        <v>138</v>
      </c>
    </row>
    <row r="543">
      <c r="A543" s="9">
        <v>45981</v>
      </c>
      <c r="B543" s="6">
        <v>209</v>
      </c>
      <c r="C543" s="7" t="s">
        <v>32</v>
      </c>
      <c r="D543" s="7" t="s">
        <v>33</v>
      </c>
      <c r="E543" s="6">
        <v>2</v>
      </c>
      <c r="F543" s="6" t="s">
        <v>103</v>
      </c>
      <c r="G543" s="6" t="s">
        <v>104</v>
      </c>
      <c r="H543" s="6" t="s">
        <v>105</v>
      </c>
      <c r="K543" t="s">
        <v>139</v>
      </c>
    </row>
    <row r="544">
      <c r="A544" s="9">
        <v>45988</v>
      </c>
      <c r="B544" s="6">
        <v>294</v>
      </c>
      <c r="C544" s="7" t="s">
        <v>32</v>
      </c>
      <c r="D544" s="7" t="s">
        <v>33</v>
      </c>
      <c r="E544" s="6">
        <v>2</v>
      </c>
      <c r="F544" s="6" t="s">
        <v>103</v>
      </c>
      <c r="G544" s="6" t="s">
        <v>104</v>
      </c>
      <c r="H544" s="6" t="s">
        <v>105</v>
      </c>
      <c r="K544" t="s">
        <v>135</v>
      </c>
    </row>
    <row r="545">
      <c r="A545" s="9">
        <v>45988</v>
      </c>
      <c r="B545" s="6">
        <v>253</v>
      </c>
      <c r="C545" s="7" t="s">
        <v>32</v>
      </c>
      <c r="D545" s="7" t="s">
        <v>33</v>
      </c>
      <c r="E545" s="6">
        <v>2</v>
      </c>
      <c r="F545" s="6" t="s">
        <v>103</v>
      </c>
      <c r="G545" s="6" t="s">
        <v>104</v>
      </c>
      <c r="H545" s="6" t="s">
        <v>105</v>
      </c>
      <c r="K545" t="s">
        <v>136</v>
      </c>
    </row>
    <row r="546">
      <c r="A546" s="9">
        <v>45988</v>
      </c>
      <c r="B546" s="6">
        <v>7</v>
      </c>
      <c r="C546" s="7" t="s">
        <v>32</v>
      </c>
      <c r="D546" s="7" t="s">
        <v>33</v>
      </c>
      <c r="E546" s="6">
        <v>2</v>
      </c>
      <c r="F546" s="6" t="s">
        <v>103</v>
      </c>
      <c r="G546" s="6" t="s">
        <v>104</v>
      </c>
      <c r="H546" s="6" t="s">
        <v>105</v>
      </c>
      <c r="K546" t="s">
        <v>137</v>
      </c>
    </row>
    <row r="547">
      <c r="A547" s="9">
        <v>45988</v>
      </c>
      <c r="B547" s="6">
        <v>55</v>
      </c>
      <c r="C547" s="7" t="s">
        <v>32</v>
      </c>
      <c r="D547" s="7" t="s">
        <v>33</v>
      </c>
      <c r="E547" s="6">
        <v>2</v>
      </c>
      <c r="F547" s="6" t="s">
        <v>103</v>
      </c>
      <c r="G547" s="6" t="s">
        <v>104</v>
      </c>
      <c r="H547" s="6" t="s">
        <v>105</v>
      </c>
      <c r="K547" t="s">
        <v>138</v>
      </c>
    </row>
    <row r="548">
      <c r="A548" s="9">
        <v>45988</v>
      </c>
      <c r="B548" s="6">
        <v>196</v>
      </c>
      <c r="C548" s="7" t="s">
        <v>32</v>
      </c>
      <c r="D548" s="7" t="s">
        <v>33</v>
      </c>
      <c r="E548" s="6">
        <v>2</v>
      </c>
      <c r="F548" s="6" t="s">
        <v>103</v>
      </c>
      <c r="G548" s="6" t="s">
        <v>104</v>
      </c>
      <c r="H548" s="6" t="s">
        <v>105</v>
      </c>
      <c r="K548" t="s">
        <v>139</v>
      </c>
    </row>
    <row r="549">
      <c r="A549" s="9">
        <v>45995</v>
      </c>
      <c r="B549" s="6">
        <v>364</v>
      </c>
      <c r="C549" s="7" t="s">
        <v>32</v>
      </c>
      <c r="D549" s="7" t="s">
        <v>33</v>
      </c>
      <c r="E549" s="6">
        <v>2</v>
      </c>
      <c r="F549" s="6" t="s">
        <v>103</v>
      </c>
      <c r="G549" s="6" t="s">
        <v>104</v>
      </c>
      <c r="H549" s="6" t="s">
        <v>105</v>
      </c>
      <c r="K549" t="s">
        <v>135</v>
      </c>
    </row>
    <row r="550">
      <c r="A550" s="9">
        <v>45995</v>
      </c>
      <c r="B550" s="6">
        <v>289</v>
      </c>
      <c r="C550" s="7" t="s">
        <v>32</v>
      </c>
      <c r="D550" s="7" t="s">
        <v>33</v>
      </c>
      <c r="E550" s="6">
        <v>2</v>
      </c>
      <c r="F550" s="6" t="s">
        <v>103</v>
      </c>
      <c r="G550" s="6" t="s">
        <v>104</v>
      </c>
      <c r="H550" s="6" t="s">
        <v>105</v>
      </c>
      <c r="K550" t="s">
        <v>136</v>
      </c>
    </row>
    <row r="551">
      <c r="A551" s="9">
        <v>45995</v>
      </c>
      <c r="B551" s="6">
        <v>16</v>
      </c>
      <c r="C551" s="7" t="s">
        <v>32</v>
      </c>
      <c r="D551" s="7" t="s">
        <v>33</v>
      </c>
      <c r="E551" s="6">
        <v>2</v>
      </c>
      <c r="F551" s="6" t="s">
        <v>103</v>
      </c>
      <c r="G551" s="6" t="s">
        <v>104</v>
      </c>
      <c r="H551" s="6" t="s">
        <v>105</v>
      </c>
      <c r="K551" t="s">
        <v>137</v>
      </c>
    </row>
    <row r="552">
      <c r="A552" s="9">
        <v>45995</v>
      </c>
      <c r="B552" s="6">
        <v>93</v>
      </c>
      <c r="C552" s="7" t="s">
        <v>32</v>
      </c>
      <c r="D552" s="7" t="s">
        <v>33</v>
      </c>
      <c r="E552" s="6">
        <v>2</v>
      </c>
      <c r="F552" s="6" t="s">
        <v>103</v>
      </c>
      <c r="G552" s="6" t="s">
        <v>104</v>
      </c>
      <c r="H552" s="6" t="s">
        <v>105</v>
      </c>
      <c r="K552" t="s">
        <v>138</v>
      </c>
    </row>
    <row r="553">
      <c r="A553" s="9">
        <v>45995</v>
      </c>
      <c r="B553" s="6">
        <v>225</v>
      </c>
      <c r="C553" s="7" t="s">
        <v>32</v>
      </c>
      <c r="D553" s="7" t="s">
        <v>33</v>
      </c>
      <c r="E553" s="6">
        <v>2</v>
      </c>
      <c r="F553" s="6" t="s">
        <v>103</v>
      </c>
      <c r="G553" s="6" t="s">
        <v>104</v>
      </c>
      <c r="H553" s="6" t="s">
        <v>105</v>
      </c>
      <c r="K553" t="s">
        <v>139</v>
      </c>
    </row>
    <row r="554">
      <c r="A554" s="9">
        <v>46002</v>
      </c>
      <c r="B554" s="6">
        <v>259</v>
      </c>
      <c r="C554" s="7" t="s">
        <v>32</v>
      </c>
      <c r="D554" s="7" t="s">
        <v>33</v>
      </c>
      <c r="E554" s="6">
        <v>2</v>
      </c>
      <c r="F554" s="6" t="s">
        <v>103</v>
      </c>
      <c r="G554" s="6" t="s">
        <v>104</v>
      </c>
      <c r="H554" s="6" t="s">
        <v>105</v>
      </c>
      <c r="K554" t="s">
        <v>135</v>
      </c>
    </row>
    <row r="555">
      <c r="A555" s="9">
        <v>46002</v>
      </c>
      <c r="B555" s="6">
        <v>229</v>
      </c>
      <c r="C555" s="7" t="s">
        <v>32</v>
      </c>
      <c r="D555" s="7" t="s">
        <v>33</v>
      </c>
      <c r="E555" s="6">
        <v>2</v>
      </c>
      <c r="F555" s="6" t="s">
        <v>103</v>
      </c>
      <c r="G555" s="6" t="s">
        <v>104</v>
      </c>
      <c r="H555" s="6" t="s">
        <v>105</v>
      </c>
      <c r="K555" t="s">
        <v>136</v>
      </c>
    </row>
    <row r="556">
      <c r="A556" s="9">
        <v>46002</v>
      </c>
      <c r="B556" s="6">
        <v>7</v>
      </c>
      <c r="C556" s="7" t="s">
        <v>32</v>
      </c>
      <c r="D556" s="7" t="s">
        <v>33</v>
      </c>
      <c r="E556" s="6">
        <v>2</v>
      </c>
      <c r="F556" s="6" t="s">
        <v>103</v>
      </c>
      <c r="G556" s="6" t="s">
        <v>104</v>
      </c>
      <c r="H556" s="6" t="s">
        <v>105</v>
      </c>
      <c r="K556" t="s">
        <v>137</v>
      </c>
    </row>
    <row r="557">
      <c r="A557" s="9">
        <v>46002</v>
      </c>
      <c r="B557" s="6">
        <v>53</v>
      </c>
      <c r="C557" s="7" t="s">
        <v>32</v>
      </c>
      <c r="D557" s="7" t="s">
        <v>33</v>
      </c>
      <c r="E557" s="6">
        <v>2</v>
      </c>
      <c r="F557" s="6" t="s">
        <v>103</v>
      </c>
      <c r="G557" s="6" t="s">
        <v>104</v>
      </c>
      <c r="H557" s="6" t="s">
        <v>105</v>
      </c>
      <c r="K557" t="s">
        <v>138</v>
      </c>
    </row>
    <row r="558">
      <c r="A558" s="9">
        <v>46002</v>
      </c>
      <c r="B558" s="6">
        <v>154</v>
      </c>
      <c r="C558" s="7" t="s">
        <v>32</v>
      </c>
      <c r="D558" s="7" t="s">
        <v>33</v>
      </c>
      <c r="E558" s="6">
        <v>2</v>
      </c>
      <c r="F558" s="6" t="s">
        <v>103</v>
      </c>
      <c r="G558" s="6" t="s">
        <v>104</v>
      </c>
      <c r="H558" s="6" t="s">
        <v>105</v>
      </c>
      <c r="K558" t="s">
        <v>139</v>
      </c>
    </row>
    <row r="559">
      <c r="A559" s="9">
        <v>46009</v>
      </c>
      <c r="B559" s="6">
        <v>350</v>
      </c>
      <c r="C559" s="7" t="s">
        <v>32</v>
      </c>
      <c r="D559" s="7" t="s">
        <v>33</v>
      </c>
      <c r="E559" s="6">
        <v>2</v>
      </c>
      <c r="F559" s="6" t="s">
        <v>103</v>
      </c>
      <c r="G559" s="6" t="s">
        <v>104</v>
      </c>
      <c r="H559" s="6" t="s">
        <v>105</v>
      </c>
      <c r="K559" t="s">
        <v>135</v>
      </c>
    </row>
    <row r="560">
      <c r="A560" s="9">
        <v>46009</v>
      </c>
      <c r="B560" s="6">
        <v>365</v>
      </c>
      <c r="C560" s="7" t="s">
        <v>32</v>
      </c>
      <c r="D560" s="7" t="s">
        <v>33</v>
      </c>
      <c r="E560" s="6">
        <v>2</v>
      </c>
      <c r="F560" s="6" t="s">
        <v>103</v>
      </c>
      <c r="G560" s="6" t="s">
        <v>104</v>
      </c>
      <c r="H560" s="6" t="s">
        <v>105</v>
      </c>
      <c r="K560" t="s">
        <v>136</v>
      </c>
    </row>
    <row r="561">
      <c r="A561" s="9">
        <v>46009</v>
      </c>
      <c r="B561" s="6">
        <v>6</v>
      </c>
      <c r="C561" s="7" t="s">
        <v>32</v>
      </c>
      <c r="D561" s="7" t="s">
        <v>33</v>
      </c>
      <c r="E561" s="6">
        <v>2</v>
      </c>
      <c r="F561" s="6" t="s">
        <v>103</v>
      </c>
      <c r="G561" s="6" t="s">
        <v>104</v>
      </c>
      <c r="H561" s="6" t="s">
        <v>105</v>
      </c>
      <c r="K561" t="s">
        <v>137</v>
      </c>
    </row>
    <row r="562">
      <c r="A562" s="9">
        <v>46009</v>
      </c>
      <c r="B562" s="6">
        <v>100</v>
      </c>
      <c r="C562" s="7" t="s">
        <v>32</v>
      </c>
      <c r="D562" s="7" t="s">
        <v>33</v>
      </c>
      <c r="E562" s="6">
        <v>2</v>
      </c>
      <c r="F562" s="6" t="s">
        <v>103</v>
      </c>
      <c r="G562" s="6" t="s">
        <v>104</v>
      </c>
      <c r="H562" s="6" t="s">
        <v>105</v>
      </c>
      <c r="K562" t="s">
        <v>138</v>
      </c>
    </row>
    <row r="563">
      <c r="A563" s="9">
        <v>46009</v>
      </c>
      <c r="B563" s="6">
        <v>216</v>
      </c>
      <c r="C563" s="7" t="s">
        <v>32</v>
      </c>
      <c r="D563" s="7" t="s">
        <v>33</v>
      </c>
      <c r="E563" s="6">
        <v>2</v>
      </c>
      <c r="F563" s="6" t="s">
        <v>103</v>
      </c>
      <c r="G563" s="6" t="s">
        <v>104</v>
      </c>
      <c r="H563" s="6" t="s">
        <v>105</v>
      </c>
      <c r="K563" t="s">
        <v>139</v>
      </c>
    </row>
    <row r="564">
      <c r="A564" s="9">
        <v>46016</v>
      </c>
      <c r="B564" s="6">
        <v>2</v>
      </c>
      <c r="C564" s="7" t="s">
        <v>32</v>
      </c>
      <c r="D564" s="7" t="s">
        <v>33</v>
      </c>
      <c r="E564" s="6">
        <v>2</v>
      </c>
      <c r="F564" s="6" t="s">
        <v>103</v>
      </c>
      <c r="G564" s="6" t="s">
        <v>104</v>
      </c>
      <c r="H564" s="6" t="s">
        <v>105</v>
      </c>
      <c r="K564" t="s">
        <v>140</v>
      </c>
    </row>
    <row r="565">
      <c r="A565" s="9">
        <v>46016</v>
      </c>
      <c r="B565" s="6">
        <v>557</v>
      </c>
      <c r="C565" s="7" t="s">
        <v>32</v>
      </c>
      <c r="D565" s="7" t="s">
        <v>33</v>
      </c>
      <c r="E565" s="6">
        <v>2</v>
      </c>
      <c r="F565" s="6" t="s">
        <v>103</v>
      </c>
      <c r="G565" s="6" t="s">
        <v>104</v>
      </c>
      <c r="H565" s="6" t="s">
        <v>105</v>
      </c>
      <c r="K565" t="s">
        <v>135</v>
      </c>
    </row>
    <row r="566">
      <c r="A566" s="9">
        <v>46016</v>
      </c>
      <c r="B566" s="6">
        <v>532</v>
      </c>
      <c r="C566" s="7" t="s">
        <v>32</v>
      </c>
      <c r="D566" s="7" t="s">
        <v>33</v>
      </c>
      <c r="E566" s="6">
        <v>2</v>
      </c>
      <c r="F566" s="6" t="s">
        <v>103</v>
      </c>
      <c r="G566" s="6" t="s">
        <v>104</v>
      </c>
      <c r="H566" s="6" t="s">
        <v>105</v>
      </c>
      <c r="K566" t="s">
        <v>136</v>
      </c>
    </row>
    <row r="567">
      <c r="A567" s="9">
        <v>46016</v>
      </c>
      <c r="B567" s="6">
        <v>11</v>
      </c>
      <c r="C567" s="7" t="s">
        <v>32</v>
      </c>
      <c r="D567" s="7" t="s">
        <v>33</v>
      </c>
      <c r="E567" s="6">
        <v>2</v>
      </c>
      <c r="F567" s="6" t="s">
        <v>103</v>
      </c>
      <c r="G567" s="6" t="s">
        <v>104</v>
      </c>
      <c r="H567" s="6" t="s">
        <v>105</v>
      </c>
      <c r="K567" t="s">
        <v>137</v>
      </c>
    </row>
    <row r="568">
      <c r="A568" s="9">
        <v>46016</v>
      </c>
      <c r="B568" s="6">
        <v>103</v>
      </c>
      <c r="C568" s="7" t="s">
        <v>32</v>
      </c>
      <c r="D568" s="7" t="s">
        <v>33</v>
      </c>
      <c r="E568" s="6">
        <v>2</v>
      </c>
      <c r="F568" s="6" t="s">
        <v>103</v>
      </c>
      <c r="G568" s="6" t="s">
        <v>104</v>
      </c>
      <c r="H568" s="6" t="s">
        <v>105</v>
      </c>
      <c r="K568" t="s">
        <v>138</v>
      </c>
    </row>
    <row r="569">
      <c r="A569" s="9">
        <v>46016</v>
      </c>
      <c r="B569" s="6">
        <v>341</v>
      </c>
      <c r="C569" s="7" t="s">
        <v>32</v>
      </c>
      <c r="D569" s="7" t="s">
        <v>33</v>
      </c>
      <c r="E569" s="6">
        <v>2</v>
      </c>
      <c r="F569" s="6" t="s">
        <v>103</v>
      </c>
      <c r="G569" s="6" t="s">
        <v>104</v>
      </c>
      <c r="H569" s="6" t="s">
        <v>105</v>
      </c>
      <c r="K569" t="s">
        <v>139</v>
      </c>
    </row>
    <row r="570">
      <c r="A570" s="9">
        <v>46037</v>
      </c>
      <c r="B570" s="6">
        <v>119</v>
      </c>
      <c r="C570" s="7" t="s">
        <v>32</v>
      </c>
      <c r="D570" s="7" t="s">
        <v>33</v>
      </c>
      <c r="E570" s="6">
        <v>2</v>
      </c>
      <c r="F570" s="6" t="s">
        <v>103</v>
      </c>
      <c r="G570" s="6" t="s">
        <v>104</v>
      </c>
      <c r="H570" s="6" t="s">
        <v>105</v>
      </c>
      <c r="K570" t="s">
        <v>135</v>
      </c>
    </row>
    <row r="571">
      <c r="A571" s="9">
        <v>46037</v>
      </c>
      <c r="B571" s="6">
        <v>72</v>
      </c>
      <c r="C571" s="7" t="s">
        <v>32</v>
      </c>
      <c r="D571" s="7" t="s">
        <v>33</v>
      </c>
      <c r="E571" s="6">
        <v>2</v>
      </c>
      <c r="F571" s="6" t="s">
        <v>103</v>
      </c>
      <c r="G571" s="6" t="s">
        <v>104</v>
      </c>
      <c r="H571" s="6" t="s">
        <v>105</v>
      </c>
      <c r="K571" t="s">
        <v>136</v>
      </c>
    </row>
    <row r="572">
      <c r="A572" s="9">
        <v>46037</v>
      </c>
      <c r="B572" s="6">
        <v>1</v>
      </c>
      <c r="C572" s="7" t="s">
        <v>32</v>
      </c>
      <c r="D572" s="7" t="s">
        <v>33</v>
      </c>
      <c r="E572" s="6">
        <v>2</v>
      </c>
      <c r="F572" s="6" t="s">
        <v>103</v>
      </c>
      <c r="G572" s="6" t="s">
        <v>104</v>
      </c>
      <c r="H572" s="6" t="s">
        <v>105</v>
      </c>
      <c r="K572" t="s">
        <v>137</v>
      </c>
    </row>
    <row r="573">
      <c r="A573" s="9">
        <v>46037</v>
      </c>
      <c r="B573" s="6">
        <v>5</v>
      </c>
      <c r="C573" s="7" t="s">
        <v>32</v>
      </c>
      <c r="D573" s="7" t="s">
        <v>33</v>
      </c>
      <c r="E573" s="6">
        <v>2</v>
      </c>
      <c r="F573" s="6" t="s">
        <v>103</v>
      </c>
      <c r="G573" s="6" t="s">
        <v>104</v>
      </c>
      <c r="H573" s="6" t="s">
        <v>105</v>
      </c>
      <c r="K573" t="s">
        <v>138</v>
      </c>
    </row>
    <row r="574">
      <c r="A574" s="9">
        <v>46037</v>
      </c>
      <c r="B574" s="6">
        <v>56</v>
      </c>
      <c r="C574" s="7" t="s">
        <v>32</v>
      </c>
      <c r="D574" s="7" t="s">
        <v>33</v>
      </c>
      <c r="E574" s="6">
        <v>2</v>
      </c>
      <c r="F574" s="6" t="s">
        <v>103</v>
      </c>
      <c r="G574" s="6" t="s">
        <v>104</v>
      </c>
      <c r="H574" s="6" t="s">
        <v>105</v>
      </c>
      <c r="K574" t="s">
        <v>139</v>
      </c>
    </row>
    <row r="575">
      <c r="A575" s="9">
        <v>46044</v>
      </c>
      <c r="B575" s="6">
        <v>655</v>
      </c>
      <c r="C575" s="7" t="s">
        <v>32</v>
      </c>
      <c r="D575" s="7" t="s">
        <v>33</v>
      </c>
      <c r="E575" s="6">
        <v>2</v>
      </c>
      <c r="F575" s="6" t="s">
        <v>103</v>
      </c>
      <c r="G575" s="6" t="s">
        <v>104</v>
      </c>
      <c r="H575" s="6" t="s">
        <v>105</v>
      </c>
      <c r="K575" t="s">
        <v>135</v>
      </c>
    </row>
    <row r="576">
      <c r="A576" s="9">
        <v>46044</v>
      </c>
      <c r="B576" s="6">
        <v>431</v>
      </c>
      <c r="C576" s="7" t="s">
        <v>32</v>
      </c>
      <c r="D576" s="7" t="s">
        <v>33</v>
      </c>
      <c r="E576" s="6">
        <v>2</v>
      </c>
      <c r="F576" s="6" t="s">
        <v>103</v>
      </c>
      <c r="G576" s="6" t="s">
        <v>104</v>
      </c>
      <c r="H576" s="6" t="s">
        <v>105</v>
      </c>
      <c r="K576" t="s">
        <v>136</v>
      </c>
    </row>
    <row r="577">
      <c r="A577" s="9">
        <v>46044</v>
      </c>
      <c r="B577" s="6">
        <v>10</v>
      </c>
      <c r="C577" s="7" t="s">
        <v>32</v>
      </c>
      <c r="D577" s="7" t="s">
        <v>33</v>
      </c>
      <c r="E577" s="6">
        <v>2</v>
      </c>
      <c r="F577" s="6" t="s">
        <v>103</v>
      </c>
      <c r="G577" s="6" t="s">
        <v>104</v>
      </c>
      <c r="H577" s="6" t="s">
        <v>105</v>
      </c>
      <c r="K577" t="s">
        <v>137</v>
      </c>
    </row>
    <row r="578">
      <c r="A578" s="9">
        <v>46044</v>
      </c>
      <c r="B578" s="6">
        <v>108</v>
      </c>
      <c r="C578" s="7" t="s">
        <v>32</v>
      </c>
      <c r="D578" s="7" t="s">
        <v>33</v>
      </c>
      <c r="E578" s="6">
        <v>2</v>
      </c>
      <c r="F578" s="6" t="s">
        <v>103</v>
      </c>
      <c r="G578" s="6" t="s">
        <v>104</v>
      </c>
      <c r="H578" s="6" t="s">
        <v>105</v>
      </c>
      <c r="K578" t="s">
        <v>138</v>
      </c>
    </row>
    <row r="579">
      <c r="A579" s="9">
        <v>46044</v>
      </c>
      <c r="B579" s="6">
        <v>404</v>
      </c>
      <c r="C579" s="7" t="s">
        <v>32</v>
      </c>
      <c r="D579" s="7" t="s">
        <v>33</v>
      </c>
      <c r="E579" s="6">
        <v>2</v>
      </c>
      <c r="F579" s="6" t="s">
        <v>103</v>
      </c>
      <c r="G579" s="6" t="s">
        <v>104</v>
      </c>
      <c r="H579" s="6" t="s">
        <v>105</v>
      </c>
      <c r="K579" t="s">
        <v>139</v>
      </c>
    </row>
    <row r="580">
      <c r="A580" s="9">
        <v>46051</v>
      </c>
      <c r="B580" s="6">
        <v>1</v>
      </c>
      <c r="C580" s="7" t="s">
        <v>32</v>
      </c>
      <c r="D580" s="7" t="s">
        <v>33</v>
      </c>
      <c r="E580" s="6">
        <v>2</v>
      </c>
      <c r="F580" s="6" t="s">
        <v>103</v>
      </c>
      <c r="G580" s="6" t="s">
        <v>104</v>
      </c>
      <c r="H580" s="6" t="s">
        <v>105</v>
      </c>
      <c r="K580" t="s">
        <v>140</v>
      </c>
    </row>
    <row r="581">
      <c r="A581" s="9">
        <v>46051</v>
      </c>
      <c r="B581" s="6">
        <v>544</v>
      </c>
      <c r="C581" s="7" t="s">
        <v>32</v>
      </c>
      <c r="D581" s="7" t="s">
        <v>33</v>
      </c>
      <c r="E581" s="6">
        <v>2</v>
      </c>
      <c r="F581" s="6" t="s">
        <v>103</v>
      </c>
      <c r="G581" s="6" t="s">
        <v>104</v>
      </c>
      <c r="H581" s="6" t="s">
        <v>105</v>
      </c>
      <c r="K581" t="s">
        <v>135</v>
      </c>
    </row>
    <row r="582">
      <c r="A582" s="9">
        <v>46051</v>
      </c>
      <c r="B582" s="6">
        <v>424</v>
      </c>
      <c r="C582" s="7" t="s">
        <v>32</v>
      </c>
      <c r="D582" s="7" t="s">
        <v>33</v>
      </c>
      <c r="E582" s="6">
        <v>2</v>
      </c>
      <c r="F582" s="6" t="s">
        <v>103</v>
      </c>
      <c r="G582" s="6" t="s">
        <v>104</v>
      </c>
      <c r="H582" s="6" t="s">
        <v>105</v>
      </c>
      <c r="K582" t="s">
        <v>136</v>
      </c>
    </row>
    <row r="583">
      <c r="A583" s="9">
        <v>46051</v>
      </c>
      <c r="B583" s="6">
        <v>13</v>
      </c>
      <c r="C583" s="7" t="s">
        <v>32</v>
      </c>
      <c r="D583" s="7" t="s">
        <v>33</v>
      </c>
      <c r="E583" s="6">
        <v>2</v>
      </c>
      <c r="F583" s="6" t="s">
        <v>103</v>
      </c>
      <c r="G583" s="6" t="s">
        <v>104</v>
      </c>
      <c r="H583" s="6" t="s">
        <v>105</v>
      </c>
      <c r="K583" t="s">
        <v>137</v>
      </c>
    </row>
    <row r="584">
      <c r="A584" s="9">
        <v>46051</v>
      </c>
      <c r="B584" s="6">
        <v>88</v>
      </c>
      <c r="C584" s="7" t="s">
        <v>32</v>
      </c>
      <c r="D584" s="7" t="s">
        <v>33</v>
      </c>
      <c r="E584" s="6">
        <v>2</v>
      </c>
      <c r="F584" s="6" t="s">
        <v>103</v>
      </c>
      <c r="G584" s="6" t="s">
        <v>104</v>
      </c>
      <c r="H584" s="6" t="s">
        <v>105</v>
      </c>
      <c r="K584" t="s">
        <v>138</v>
      </c>
    </row>
    <row r="585">
      <c r="A585" s="9">
        <v>46051</v>
      </c>
      <c r="B585" s="6">
        <v>294</v>
      </c>
      <c r="C585" s="7" t="s">
        <v>32</v>
      </c>
      <c r="D585" s="7" t="s">
        <v>33</v>
      </c>
      <c r="E585" s="6">
        <v>2</v>
      </c>
      <c r="F585" s="6" t="s">
        <v>103</v>
      </c>
      <c r="G585" s="6" t="s">
        <v>104</v>
      </c>
      <c r="H585" s="6" t="s">
        <v>105</v>
      </c>
      <c r="K585" t="s">
        <v>139</v>
      </c>
    </row>
    <row r="586">
      <c r="A586" s="9">
        <v>46058</v>
      </c>
      <c r="B586" s="6">
        <v>611</v>
      </c>
      <c r="C586" s="7" t="s">
        <v>32</v>
      </c>
      <c r="D586" s="7" t="s">
        <v>33</v>
      </c>
      <c r="E586" s="6">
        <v>2</v>
      </c>
      <c r="F586" s="6" t="s">
        <v>103</v>
      </c>
      <c r="G586" s="6" t="s">
        <v>104</v>
      </c>
      <c r="H586" s="6" t="s">
        <v>105</v>
      </c>
      <c r="K586" t="s">
        <v>135</v>
      </c>
    </row>
    <row r="587">
      <c r="A587" s="9">
        <v>46058</v>
      </c>
      <c r="B587" s="6">
        <v>411</v>
      </c>
      <c r="C587" s="7" t="s">
        <v>32</v>
      </c>
      <c r="D587" s="7" t="s">
        <v>33</v>
      </c>
      <c r="E587" s="6">
        <v>2</v>
      </c>
      <c r="F587" s="6" t="s">
        <v>103</v>
      </c>
      <c r="G587" s="6" t="s">
        <v>104</v>
      </c>
      <c r="H587" s="6" t="s">
        <v>105</v>
      </c>
      <c r="K587" t="s">
        <v>136</v>
      </c>
    </row>
    <row r="588">
      <c r="A588" s="9">
        <v>46058</v>
      </c>
      <c r="B588" s="6">
        <v>11</v>
      </c>
      <c r="C588" s="7" t="s">
        <v>32</v>
      </c>
      <c r="D588" s="7" t="s">
        <v>33</v>
      </c>
      <c r="E588" s="6">
        <v>2</v>
      </c>
      <c r="F588" s="6" t="s">
        <v>103</v>
      </c>
      <c r="G588" s="6" t="s">
        <v>104</v>
      </c>
      <c r="H588" s="6" t="s">
        <v>105</v>
      </c>
      <c r="K588" t="s">
        <v>137</v>
      </c>
    </row>
    <row r="589">
      <c r="A589" s="9">
        <v>46058</v>
      </c>
      <c r="B589" s="6">
        <v>77</v>
      </c>
      <c r="C589" s="7" t="s">
        <v>32</v>
      </c>
      <c r="D589" s="7" t="s">
        <v>33</v>
      </c>
      <c r="E589" s="6">
        <v>2</v>
      </c>
      <c r="F589" s="6" t="s">
        <v>103</v>
      </c>
      <c r="G589" s="6" t="s">
        <v>104</v>
      </c>
      <c r="H589" s="6" t="s">
        <v>105</v>
      </c>
      <c r="K589" t="s">
        <v>138</v>
      </c>
    </row>
    <row r="590">
      <c r="A590" s="9">
        <v>46058</v>
      </c>
      <c r="B590" s="6">
        <v>284</v>
      </c>
      <c r="C590" s="7" t="s">
        <v>32</v>
      </c>
      <c r="D590" s="7" t="s">
        <v>33</v>
      </c>
      <c r="E590" s="6">
        <v>2</v>
      </c>
      <c r="F590" s="6" t="s">
        <v>103</v>
      </c>
      <c r="G590" s="6" t="s">
        <v>104</v>
      </c>
      <c r="H590" s="6" t="s">
        <v>105</v>
      </c>
      <c r="K590" t="s">
        <v>139</v>
      </c>
    </row>
    <row r="591">
      <c r="A591" s="9">
        <v>46065</v>
      </c>
      <c r="B591" s="6">
        <v>497</v>
      </c>
      <c r="C591" s="7" t="s">
        <v>32</v>
      </c>
      <c r="D591" s="7" t="s">
        <v>33</v>
      </c>
      <c r="E591" s="6">
        <v>2</v>
      </c>
      <c r="F591" s="6" t="s">
        <v>103</v>
      </c>
      <c r="G591" s="6" t="s">
        <v>104</v>
      </c>
      <c r="H591" s="6" t="s">
        <v>105</v>
      </c>
      <c r="K591" t="s">
        <v>135</v>
      </c>
    </row>
    <row r="592">
      <c r="A592" s="9">
        <v>46065</v>
      </c>
      <c r="B592" s="6">
        <v>347</v>
      </c>
      <c r="C592" s="7" t="s">
        <v>32</v>
      </c>
      <c r="D592" s="7" t="s">
        <v>33</v>
      </c>
      <c r="E592" s="6">
        <v>2</v>
      </c>
      <c r="F592" s="6" t="s">
        <v>103</v>
      </c>
      <c r="G592" s="6" t="s">
        <v>104</v>
      </c>
      <c r="H592" s="6" t="s">
        <v>105</v>
      </c>
      <c r="K592" t="s">
        <v>136</v>
      </c>
    </row>
    <row r="593">
      <c r="A593" s="9">
        <v>46065</v>
      </c>
      <c r="B593" s="6">
        <v>10</v>
      </c>
      <c r="C593" s="7" t="s">
        <v>32</v>
      </c>
      <c r="D593" s="7" t="s">
        <v>33</v>
      </c>
      <c r="E593" s="6">
        <v>2</v>
      </c>
      <c r="F593" s="6" t="s">
        <v>103</v>
      </c>
      <c r="G593" s="6" t="s">
        <v>104</v>
      </c>
      <c r="H593" s="6" t="s">
        <v>105</v>
      </c>
      <c r="K593" t="s">
        <v>137</v>
      </c>
    </row>
    <row r="594">
      <c r="A594" s="9">
        <v>46065</v>
      </c>
      <c r="B594" s="6">
        <v>66</v>
      </c>
      <c r="C594" s="7" t="s">
        <v>32</v>
      </c>
      <c r="D594" s="7" t="s">
        <v>33</v>
      </c>
      <c r="E594" s="6">
        <v>2</v>
      </c>
      <c r="F594" s="6" t="s">
        <v>103</v>
      </c>
      <c r="G594" s="6" t="s">
        <v>104</v>
      </c>
      <c r="H594" s="6" t="s">
        <v>105</v>
      </c>
      <c r="K594" t="s">
        <v>138</v>
      </c>
    </row>
    <row r="595">
      <c r="A595" s="9">
        <v>46065</v>
      </c>
      <c r="B595" s="6">
        <v>265</v>
      </c>
      <c r="C595" s="7" t="s">
        <v>32</v>
      </c>
      <c r="D595" s="7" t="s">
        <v>33</v>
      </c>
      <c r="E595" s="6">
        <v>2</v>
      </c>
      <c r="F595" s="6" t="s">
        <v>103</v>
      </c>
      <c r="G595" s="6" t="s">
        <v>104</v>
      </c>
      <c r="H595" s="6" t="s">
        <v>105</v>
      </c>
      <c r="K595" t="s">
        <v>139</v>
      </c>
    </row>
    <row r="596">
      <c r="A596" s="9">
        <v>46072</v>
      </c>
      <c r="B596" s="6">
        <v>434</v>
      </c>
      <c r="C596" s="7" t="s">
        <v>32</v>
      </c>
      <c r="D596" s="7" t="s">
        <v>33</v>
      </c>
      <c r="E596" s="6">
        <v>2</v>
      </c>
      <c r="F596" s="6" t="s">
        <v>103</v>
      </c>
      <c r="G596" s="6" t="s">
        <v>104</v>
      </c>
      <c r="H596" s="6" t="s">
        <v>105</v>
      </c>
      <c r="K596" t="s">
        <v>135</v>
      </c>
    </row>
    <row r="597">
      <c r="A597" s="9">
        <v>46072</v>
      </c>
      <c r="B597" s="6">
        <v>384</v>
      </c>
      <c r="C597" s="7" t="s">
        <v>32</v>
      </c>
      <c r="D597" s="7" t="s">
        <v>33</v>
      </c>
      <c r="E597" s="6">
        <v>2</v>
      </c>
      <c r="F597" s="6" t="s">
        <v>103</v>
      </c>
      <c r="G597" s="6" t="s">
        <v>104</v>
      </c>
      <c r="H597" s="6" t="s">
        <v>105</v>
      </c>
      <c r="K597" t="s">
        <v>136</v>
      </c>
    </row>
    <row r="598">
      <c r="A598" s="9">
        <v>46072</v>
      </c>
      <c r="B598" s="6">
        <v>11</v>
      </c>
      <c r="C598" s="7" t="s">
        <v>32</v>
      </c>
      <c r="D598" s="7" t="s">
        <v>33</v>
      </c>
      <c r="E598" s="6">
        <v>2</v>
      </c>
      <c r="F598" s="6" t="s">
        <v>103</v>
      </c>
      <c r="G598" s="6" t="s">
        <v>104</v>
      </c>
      <c r="H598" s="6" t="s">
        <v>105</v>
      </c>
      <c r="K598" t="s">
        <v>137</v>
      </c>
    </row>
    <row r="599">
      <c r="A599" s="9">
        <v>46072</v>
      </c>
      <c r="B599" s="6">
        <v>89</v>
      </c>
      <c r="C599" s="7" t="s">
        <v>32</v>
      </c>
      <c r="D599" s="7" t="s">
        <v>33</v>
      </c>
      <c r="E599" s="6">
        <v>2</v>
      </c>
      <c r="F599" s="6" t="s">
        <v>103</v>
      </c>
      <c r="G599" s="6" t="s">
        <v>104</v>
      </c>
      <c r="H599" s="6" t="s">
        <v>105</v>
      </c>
      <c r="K599" t="s">
        <v>138</v>
      </c>
    </row>
    <row r="600">
      <c r="A600" s="9">
        <v>46072</v>
      </c>
      <c r="B600" s="6">
        <v>246</v>
      </c>
      <c r="C600" s="7" t="s">
        <v>32</v>
      </c>
      <c r="D600" s="7" t="s">
        <v>33</v>
      </c>
      <c r="E600" s="6">
        <v>2</v>
      </c>
      <c r="F600" s="6" t="s">
        <v>103</v>
      </c>
      <c r="G600" s="6" t="s">
        <v>104</v>
      </c>
      <c r="H600" s="6" t="s">
        <v>105</v>
      </c>
      <c r="K600" t="s">
        <v>139</v>
      </c>
    </row>
    <row r="601">
      <c r="A601" s="9">
        <v>46079</v>
      </c>
      <c r="B601" s="6">
        <v>369</v>
      </c>
      <c r="C601" s="7" t="s">
        <v>32</v>
      </c>
      <c r="D601" s="7" t="s">
        <v>33</v>
      </c>
      <c r="E601" s="6">
        <v>2</v>
      </c>
      <c r="F601" s="6" t="s">
        <v>103</v>
      </c>
      <c r="G601" s="6" t="s">
        <v>104</v>
      </c>
      <c r="H601" s="6" t="s">
        <v>105</v>
      </c>
      <c r="K601" t="s">
        <v>135</v>
      </c>
    </row>
    <row r="602">
      <c r="A602" s="9">
        <v>46079</v>
      </c>
      <c r="B602" s="6">
        <v>340</v>
      </c>
      <c r="C602" s="7" t="s">
        <v>32</v>
      </c>
      <c r="D602" s="7" t="s">
        <v>33</v>
      </c>
      <c r="E602" s="6">
        <v>2</v>
      </c>
      <c r="F602" s="6" t="s">
        <v>103</v>
      </c>
      <c r="G602" s="6" t="s">
        <v>104</v>
      </c>
      <c r="H602" s="6" t="s">
        <v>105</v>
      </c>
      <c r="K602" t="s">
        <v>136</v>
      </c>
    </row>
    <row r="603">
      <c r="A603" s="9">
        <v>46079</v>
      </c>
      <c r="B603" s="6">
        <v>13</v>
      </c>
      <c r="C603" s="7" t="s">
        <v>32</v>
      </c>
      <c r="D603" s="7" t="s">
        <v>33</v>
      </c>
      <c r="E603" s="6">
        <v>2</v>
      </c>
      <c r="F603" s="6" t="s">
        <v>103</v>
      </c>
      <c r="G603" s="6" t="s">
        <v>104</v>
      </c>
      <c r="H603" s="6" t="s">
        <v>105</v>
      </c>
      <c r="K603" t="s">
        <v>137</v>
      </c>
    </row>
    <row r="604">
      <c r="A604" s="9">
        <v>46079</v>
      </c>
      <c r="B604" s="6">
        <v>52</v>
      </c>
      <c r="C604" s="7" t="s">
        <v>32</v>
      </c>
      <c r="D604" s="7" t="s">
        <v>33</v>
      </c>
      <c r="E604" s="6">
        <v>2</v>
      </c>
      <c r="F604" s="6" t="s">
        <v>103</v>
      </c>
      <c r="G604" s="6" t="s">
        <v>104</v>
      </c>
      <c r="H604" s="6" t="s">
        <v>105</v>
      </c>
      <c r="K604" t="s">
        <v>138</v>
      </c>
    </row>
    <row r="605">
      <c r="A605" s="9">
        <v>46079</v>
      </c>
      <c r="B605" s="6">
        <v>245</v>
      </c>
      <c r="C605" s="7" t="s">
        <v>32</v>
      </c>
      <c r="D605" s="7" t="s">
        <v>33</v>
      </c>
      <c r="E605" s="6">
        <v>2</v>
      </c>
      <c r="F605" s="6" t="s">
        <v>103</v>
      </c>
      <c r="G605" s="6" t="s">
        <v>104</v>
      </c>
      <c r="H605" s="6" t="s">
        <v>105</v>
      </c>
      <c r="K605" t="s">
        <v>139</v>
      </c>
    </row>
    <row r="606">
      <c r="A606" s="9">
        <v>46086</v>
      </c>
      <c r="B606" s="6">
        <v>385</v>
      </c>
      <c r="C606" s="7" t="s">
        <v>32</v>
      </c>
      <c r="D606" s="7" t="s">
        <v>33</v>
      </c>
      <c r="E606" s="6">
        <v>2</v>
      </c>
      <c r="F606" s="6" t="s">
        <v>103</v>
      </c>
      <c r="G606" s="6" t="s">
        <v>104</v>
      </c>
      <c r="H606" s="6" t="s">
        <v>105</v>
      </c>
      <c r="K606" t="s">
        <v>135</v>
      </c>
    </row>
    <row r="607">
      <c r="A607" s="9">
        <v>46086</v>
      </c>
      <c r="B607" s="6">
        <v>322</v>
      </c>
      <c r="C607" s="7" t="s">
        <v>32</v>
      </c>
      <c r="D607" s="7" t="s">
        <v>33</v>
      </c>
      <c r="E607" s="6">
        <v>2</v>
      </c>
      <c r="F607" s="6" t="s">
        <v>103</v>
      </c>
      <c r="G607" s="6" t="s">
        <v>104</v>
      </c>
      <c r="H607" s="6" t="s">
        <v>105</v>
      </c>
      <c r="K607" t="s">
        <v>136</v>
      </c>
    </row>
    <row r="608">
      <c r="A608" s="9">
        <v>46086</v>
      </c>
      <c r="B608" s="6">
        <v>8</v>
      </c>
      <c r="C608" s="7" t="s">
        <v>32</v>
      </c>
      <c r="D608" s="7" t="s">
        <v>33</v>
      </c>
      <c r="E608" s="6">
        <v>2</v>
      </c>
      <c r="F608" s="6" t="s">
        <v>103</v>
      </c>
      <c r="G608" s="6" t="s">
        <v>104</v>
      </c>
      <c r="H608" s="6" t="s">
        <v>105</v>
      </c>
      <c r="K608" t="s">
        <v>137</v>
      </c>
    </row>
    <row r="609">
      <c r="A609" s="9">
        <v>46086</v>
      </c>
      <c r="B609" s="6">
        <v>54</v>
      </c>
      <c r="C609" s="7" t="s">
        <v>32</v>
      </c>
      <c r="D609" s="7" t="s">
        <v>33</v>
      </c>
      <c r="E609" s="6">
        <v>2</v>
      </c>
      <c r="F609" s="6" t="s">
        <v>103</v>
      </c>
      <c r="G609" s="6" t="s">
        <v>104</v>
      </c>
      <c r="H609" s="6" t="s">
        <v>105</v>
      </c>
      <c r="K609" t="s">
        <v>138</v>
      </c>
    </row>
    <row r="610">
      <c r="A610" s="9">
        <v>46086</v>
      </c>
      <c r="B610" s="6">
        <v>255</v>
      </c>
      <c r="C610" s="7" t="s">
        <v>32</v>
      </c>
      <c r="D610" s="7" t="s">
        <v>33</v>
      </c>
      <c r="E610" s="6">
        <v>2</v>
      </c>
      <c r="F610" s="6" t="s">
        <v>103</v>
      </c>
      <c r="G610" s="6" t="s">
        <v>104</v>
      </c>
      <c r="H610" s="6" t="s">
        <v>105</v>
      </c>
      <c r="K610" t="s">
        <v>139</v>
      </c>
    </row>
    <row r="611">
      <c r="A611" s="9">
        <v>46093</v>
      </c>
      <c r="B611" s="6">
        <v>337</v>
      </c>
      <c r="C611" s="7" t="s">
        <v>32</v>
      </c>
      <c r="D611" s="7" t="s">
        <v>33</v>
      </c>
      <c r="E611" s="6">
        <v>2</v>
      </c>
      <c r="F611" s="6" t="s">
        <v>103</v>
      </c>
      <c r="G611" s="6" t="s">
        <v>104</v>
      </c>
      <c r="H611" s="6" t="s">
        <v>105</v>
      </c>
      <c r="K611" t="s">
        <v>135</v>
      </c>
    </row>
    <row r="612">
      <c r="A612" s="9">
        <v>46093</v>
      </c>
      <c r="B612" s="6">
        <v>272</v>
      </c>
      <c r="C612" s="7" t="s">
        <v>32</v>
      </c>
      <c r="D612" s="7" t="s">
        <v>33</v>
      </c>
      <c r="E612" s="6">
        <v>2</v>
      </c>
      <c r="F612" s="6" t="s">
        <v>103</v>
      </c>
      <c r="G612" s="6" t="s">
        <v>104</v>
      </c>
      <c r="H612" s="6" t="s">
        <v>105</v>
      </c>
      <c r="K612" t="s">
        <v>136</v>
      </c>
    </row>
    <row r="613">
      <c r="A613" s="9">
        <v>46093</v>
      </c>
      <c r="B613" s="6">
        <v>11</v>
      </c>
      <c r="C613" s="7" t="s">
        <v>32</v>
      </c>
      <c r="D613" s="7" t="s">
        <v>33</v>
      </c>
      <c r="E613" s="6">
        <v>2</v>
      </c>
      <c r="F613" s="6" t="s">
        <v>103</v>
      </c>
      <c r="G613" s="6" t="s">
        <v>104</v>
      </c>
      <c r="H613" s="6" t="s">
        <v>105</v>
      </c>
      <c r="K613" t="s">
        <v>137</v>
      </c>
    </row>
    <row r="614">
      <c r="A614" s="9">
        <v>46093</v>
      </c>
      <c r="B614" s="6">
        <v>44</v>
      </c>
      <c r="C614" s="7" t="s">
        <v>32</v>
      </c>
      <c r="D614" s="7" t="s">
        <v>33</v>
      </c>
      <c r="E614" s="6">
        <v>2</v>
      </c>
      <c r="F614" s="6" t="s">
        <v>103</v>
      </c>
      <c r="G614" s="6" t="s">
        <v>104</v>
      </c>
      <c r="H614" s="6" t="s">
        <v>105</v>
      </c>
      <c r="K614" t="s">
        <v>138</v>
      </c>
    </row>
    <row r="615">
      <c r="A615" s="9">
        <v>46093</v>
      </c>
      <c r="B615" s="6">
        <v>194</v>
      </c>
      <c r="C615" s="7" t="s">
        <v>32</v>
      </c>
      <c r="D615" s="7" t="s">
        <v>33</v>
      </c>
      <c r="E615" s="6">
        <v>2</v>
      </c>
      <c r="F615" s="6" t="s">
        <v>103</v>
      </c>
      <c r="G615" s="6" t="s">
        <v>104</v>
      </c>
      <c r="H615" s="6" t="s">
        <v>105</v>
      </c>
      <c r="K615" t="s">
        <v>139</v>
      </c>
    </row>
    <row r="616">
      <c r="A616" s="9">
        <v>46100</v>
      </c>
      <c r="B616" s="6">
        <v>1</v>
      </c>
      <c r="C616" s="7" t="s">
        <v>32</v>
      </c>
      <c r="D616" s="7" t="s">
        <v>33</v>
      </c>
      <c r="E616" s="6">
        <v>2</v>
      </c>
      <c r="F616" s="6" t="s">
        <v>103</v>
      </c>
      <c r="G616" s="6" t="s">
        <v>104</v>
      </c>
      <c r="H616" s="6" t="s">
        <v>105</v>
      </c>
      <c r="K616" t="s">
        <v>140</v>
      </c>
    </row>
    <row r="617">
      <c r="A617" s="9">
        <v>46100</v>
      </c>
      <c r="B617" s="6">
        <v>351</v>
      </c>
      <c r="C617" s="7" t="s">
        <v>32</v>
      </c>
      <c r="D617" s="7" t="s">
        <v>33</v>
      </c>
      <c r="E617" s="6">
        <v>2</v>
      </c>
      <c r="F617" s="6" t="s">
        <v>103</v>
      </c>
      <c r="G617" s="6" t="s">
        <v>104</v>
      </c>
      <c r="H617" s="6" t="s">
        <v>105</v>
      </c>
      <c r="K617" t="s">
        <v>135</v>
      </c>
    </row>
    <row r="618">
      <c r="A618" s="9">
        <v>46100</v>
      </c>
      <c r="B618" s="6">
        <v>377</v>
      </c>
      <c r="C618" s="7" t="s">
        <v>32</v>
      </c>
      <c r="D618" s="7" t="s">
        <v>33</v>
      </c>
      <c r="E618" s="6">
        <v>2</v>
      </c>
      <c r="F618" s="6" t="s">
        <v>103</v>
      </c>
      <c r="G618" s="6" t="s">
        <v>104</v>
      </c>
      <c r="H618" s="6" t="s">
        <v>105</v>
      </c>
      <c r="K618" t="s">
        <v>136</v>
      </c>
    </row>
    <row r="619">
      <c r="A619" s="9">
        <v>46100</v>
      </c>
      <c r="B619" s="6">
        <v>15</v>
      </c>
      <c r="C619" s="7" t="s">
        <v>32</v>
      </c>
      <c r="D619" s="7" t="s">
        <v>33</v>
      </c>
      <c r="E619" s="6">
        <v>2</v>
      </c>
      <c r="F619" s="6" t="s">
        <v>103</v>
      </c>
      <c r="G619" s="6" t="s">
        <v>104</v>
      </c>
      <c r="H619" s="6" t="s">
        <v>105</v>
      </c>
      <c r="K619" t="s">
        <v>137</v>
      </c>
    </row>
    <row r="620">
      <c r="A620" s="9">
        <v>46100</v>
      </c>
      <c r="B620" s="6">
        <v>77</v>
      </c>
      <c r="C620" s="7" t="s">
        <v>32</v>
      </c>
      <c r="D620" s="7" t="s">
        <v>33</v>
      </c>
      <c r="E620" s="6">
        <v>2</v>
      </c>
      <c r="F620" s="6" t="s">
        <v>103</v>
      </c>
      <c r="G620" s="6" t="s">
        <v>104</v>
      </c>
      <c r="H620" s="6" t="s">
        <v>105</v>
      </c>
      <c r="K620" t="s">
        <v>138</v>
      </c>
    </row>
    <row r="621">
      <c r="A621" s="9">
        <v>46100</v>
      </c>
      <c r="B621" s="6">
        <v>181</v>
      </c>
      <c r="C621" s="7" t="s">
        <v>32</v>
      </c>
      <c r="D621" s="7" t="s">
        <v>33</v>
      </c>
      <c r="E621" s="6">
        <v>2</v>
      </c>
      <c r="F621" s="6" t="s">
        <v>103</v>
      </c>
      <c r="G621" s="6" t="s">
        <v>104</v>
      </c>
      <c r="H621" s="6" t="s">
        <v>105</v>
      </c>
      <c r="K621" t="s">
        <v>139</v>
      </c>
    </row>
    <row r="622">
      <c r="A622" s="9">
        <v>46107</v>
      </c>
      <c r="B622" s="6">
        <v>343</v>
      </c>
      <c r="C622" s="7" t="s">
        <v>32</v>
      </c>
      <c r="D622" s="7" t="s">
        <v>33</v>
      </c>
      <c r="E622" s="6">
        <v>2</v>
      </c>
      <c r="F622" s="6" t="s">
        <v>103</v>
      </c>
      <c r="G622" s="6" t="s">
        <v>104</v>
      </c>
      <c r="H622" s="6" t="s">
        <v>105</v>
      </c>
      <c r="K622" t="s">
        <v>135</v>
      </c>
    </row>
    <row r="623">
      <c r="A623" s="9">
        <v>46107</v>
      </c>
      <c r="B623" s="6">
        <v>323</v>
      </c>
      <c r="C623" s="7" t="s">
        <v>32</v>
      </c>
      <c r="D623" s="7" t="s">
        <v>33</v>
      </c>
      <c r="E623" s="6">
        <v>2</v>
      </c>
      <c r="F623" s="6" t="s">
        <v>103</v>
      </c>
      <c r="G623" s="6" t="s">
        <v>104</v>
      </c>
      <c r="H623" s="6" t="s">
        <v>105</v>
      </c>
      <c r="K623" t="s">
        <v>136</v>
      </c>
    </row>
    <row r="624">
      <c r="A624" s="9">
        <v>46107</v>
      </c>
      <c r="B624" s="6">
        <v>8</v>
      </c>
      <c r="C624" s="7" t="s">
        <v>32</v>
      </c>
      <c r="D624" s="7" t="s">
        <v>33</v>
      </c>
      <c r="E624" s="6">
        <v>2</v>
      </c>
      <c r="F624" s="6" t="s">
        <v>103</v>
      </c>
      <c r="G624" s="6" t="s">
        <v>104</v>
      </c>
      <c r="H624" s="6" t="s">
        <v>105</v>
      </c>
      <c r="K624" t="s">
        <v>137</v>
      </c>
    </row>
    <row r="625">
      <c r="A625" s="9">
        <v>46107</v>
      </c>
      <c r="B625" s="6">
        <v>51</v>
      </c>
      <c r="C625" s="7" t="s">
        <v>32</v>
      </c>
      <c r="D625" s="7" t="s">
        <v>33</v>
      </c>
      <c r="E625" s="6">
        <v>2</v>
      </c>
      <c r="F625" s="6" t="s">
        <v>103</v>
      </c>
      <c r="G625" s="6" t="s">
        <v>104</v>
      </c>
      <c r="H625" s="6" t="s">
        <v>105</v>
      </c>
      <c r="K625" t="s">
        <v>138</v>
      </c>
    </row>
    <row r="626">
      <c r="A626" s="9">
        <v>46107</v>
      </c>
      <c r="B626" s="6">
        <v>178</v>
      </c>
      <c r="C626" s="7" t="s">
        <v>32</v>
      </c>
      <c r="D626" s="7" t="s">
        <v>33</v>
      </c>
      <c r="E626" s="6">
        <v>2</v>
      </c>
      <c r="F626" s="6" t="s">
        <v>103</v>
      </c>
      <c r="G626" s="6" t="s">
        <v>104</v>
      </c>
      <c r="H626" s="6" t="s">
        <v>105</v>
      </c>
      <c r="K626" t="s">
        <v>139</v>
      </c>
    </row>
    <row r="627">
      <c r="A627" s="9">
        <v>46114</v>
      </c>
      <c r="B627" s="6">
        <v>333</v>
      </c>
      <c r="C627" s="7" t="s">
        <v>32</v>
      </c>
      <c r="D627" s="7" t="s">
        <v>33</v>
      </c>
      <c r="E627" s="6">
        <v>2</v>
      </c>
      <c r="F627" s="6" t="s">
        <v>103</v>
      </c>
      <c r="G627" s="6" t="s">
        <v>104</v>
      </c>
      <c r="H627" s="6" t="s">
        <v>105</v>
      </c>
      <c r="K627" t="s">
        <v>135</v>
      </c>
    </row>
    <row r="628">
      <c r="A628" s="9">
        <v>46114</v>
      </c>
      <c r="B628" s="6">
        <v>347</v>
      </c>
      <c r="C628" s="7" t="s">
        <v>32</v>
      </c>
      <c r="D628" s="7" t="s">
        <v>33</v>
      </c>
      <c r="E628" s="6">
        <v>2</v>
      </c>
      <c r="F628" s="6" t="s">
        <v>103</v>
      </c>
      <c r="G628" s="6" t="s">
        <v>104</v>
      </c>
      <c r="H628" s="6" t="s">
        <v>105</v>
      </c>
      <c r="K628" t="s">
        <v>136</v>
      </c>
    </row>
    <row r="629">
      <c r="A629" s="9">
        <v>46114</v>
      </c>
      <c r="B629" s="6">
        <v>8</v>
      </c>
      <c r="C629" s="7" t="s">
        <v>32</v>
      </c>
      <c r="D629" s="7" t="s">
        <v>33</v>
      </c>
      <c r="E629" s="6">
        <v>2</v>
      </c>
      <c r="F629" s="6" t="s">
        <v>103</v>
      </c>
      <c r="G629" s="6" t="s">
        <v>104</v>
      </c>
      <c r="H629" s="6" t="s">
        <v>105</v>
      </c>
      <c r="K629" t="s">
        <v>137</v>
      </c>
    </row>
    <row r="630">
      <c r="A630" s="9">
        <v>46114</v>
      </c>
      <c r="B630" s="6">
        <v>65</v>
      </c>
      <c r="C630" s="7" t="s">
        <v>32</v>
      </c>
      <c r="D630" s="7" t="s">
        <v>33</v>
      </c>
      <c r="E630" s="6">
        <v>2</v>
      </c>
      <c r="F630" s="6" t="s">
        <v>103</v>
      </c>
      <c r="G630" s="6" t="s">
        <v>104</v>
      </c>
      <c r="H630" s="6" t="s">
        <v>105</v>
      </c>
      <c r="K630" t="s">
        <v>138</v>
      </c>
    </row>
    <row r="631">
      <c r="A631" s="9">
        <v>46114</v>
      </c>
      <c r="B631" s="6">
        <v>175</v>
      </c>
      <c r="C631" s="7" t="s">
        <v>32</v>
      </c>
      <c r="D631" s="7" t="s">
        <v>33</v>
      </c>
      <c r="E631" s="6">
        <v>2</v>
      </c>
      <c r="F631" s="6" t="s">
        <v>103</v>
      </c>
      <c r="G631" s="6" t="s">
        <v>104</v>
      </c>
      <c r="H631" s="6" t="s">
        <v>105</v>
      </c>
      <c r="K631" t="s">
        <v>139</v>
      </c>
    </row>
    <row r="632">
      <c r="A632" s="9">
        <v>46121</v>
      </c>
      <c r="B632" s="6">
        <v>274</v>
      </c>
      <c r="C632" s="7" t="s">
        <v>32</v>
      </c>
      <c r="D632" s="7" t="s">
        <v>33</v>
      </c>
      <c r="E632" s="6">
        <v>2</v>
      </c>
      <c r="F632" s="6" t="s">
        <v>103</v>
      </c>
      <c r="G632" s="6" t="s">
        <v>104</v>
      </c>
      <c r="H632" s="6" t="s">
        <v>105</v>
      </c>
      <c r="K632" t="s">
        <v>135</v>
      </c>
    </row>
    <row r="633">
      <c r="A633" s="9">
        <v>46121</v>
      </c>
      <c r="B633" s="6">
        <v>235</v>
      </c>
      <c r="C633" s="7" t="s">
        <v>32</v>
      </c>
      <c r="D633" s="7" t="s">
        <v>33</v>
      </c>
      <c r="E633" s="6">
        <v>2</v>
      </c>
      <c r="F633" s="6" t="s">
        <v>103</v>
      </c>
      <c r="G633" s="6" t="s">
        <v>104</v>
      </c>
      <c r="H633" s="6" t="s">
        <v>105</v>
      </c>
      <c r="K633" t="s">
        <v>136</v>
      </c>
    </row>
    <row r="634">
      <c r="A634" s="9">
        <v>46121</v>
      </c>
      <c r="B634" s="6">
        <v>10</v>
      </c>
      <c r="C634" s="7" t="s">
        <v>32</v>
      </c>
      <c r="D634" s="7" t="s">
        <v>33</v>
      </c>
      <c r="E634" s="6">
        <v>2</v>
      </c>
      <c r="F634" s="6" t="s">
        <v>103</v>
      </c>
      <c r="G634" s="6" t="s">
        <v>104</v>
      </c>
      <c r="H634" s="6" t="s">
        <v>105</v>
      </c>
      <c r="K634" t="s">
        <v>137</v>
      </c>
    </row>
    <row r="635">
      <c r="A635" s="9">
        <v>46121</v>
      </c>
      <c r="B635" s="6">
        <v>47</v>
      </c>
      <c r="C635" s="7" t="s">
        <v>32</v>
      </c>
      <c r="D635" s="7" t="s">
        <v>33</v>
      </c>
      <c r="E635" s="6">
        <v>2</v>
      </c>
      <c r="F635" s="6" t="s">
        <v>103</v>
      </c>
      <c r="G635" s="6" t="s">
        <v>104</v>
      </c>
      <c r="H635" s="6" t="s">
        <v>105</v>
      </c>
      <c r="K635" t="s">
        <v>138</v>
      </c>
    </row>
    <row r="636">
      <c r="A636" s="9">
        <v>46121</v>
      </c>
      <c r="B636" s="6">
        <v>131</v>
      </c>
      <c r="C636" s="7" t="s">
        <v>32</v>
      </c>
      <c r="D636" s="7" t="s">
        <v>33</v>
      </c>
      <c r="E636" s="6">
        <v>2</v>
      </c>
      <c r="F636" s="6" t="s">
        <v>103</v>
      </c>
      <c r="G636" s="6" t="s">
        <v>104</v>
      </c>
      <c r="H636" s="6" t="s">
        <v>105</v>
      </c>
      <c r="K636" t="s">
        <v>139</v>
      </c>
    </row>
    <row r="637">
      <c r="A637" s="9">
        <v>45911</v>
      </c>
      <c r="B637" s="6">
        <v>16</v>
      </c>
      <c r="C637" s="7" t="s">
        <v>79</v>
      </c>
      <c r="D637" s="7" t="s">
        <v>33</v>
      </c>
      <c r="E637" s="6">
        <v>3</v>
      </c>
      <c r="F637" s="6" t="s">
        <v>103</v>
      </c>
      <c r="G637" s="6" t="s">
        <v>104</v>
      </c>
      <c r="H637" s="6" t="s">
        <v>105</v>
      </c>
      <c r="J637" s="7" t="s">
        <v>90</v>
      </c>
      <c r="K637" t="s">
        <v>135</v>
      </c>
    </row>
    <row r="638">
      <c r="A638" s="9">
        <v>45911</v>
      </c>
      <c r="B638" s="6">
        <v>27</v>
      </c>
      <c r="C638" s="7" t="s">
        <v>79</v>
      </c>
      <c r="D638" s="7" t="s">
        <v>33</v>
      </c>
      <c r="E638" s="6">
        <v>3</v>
      </c>
      <c r="F638" s="6" t="s">
        <v>103</v>
      </c>
      <c r="G638" s="6" t="s">
        <v>104</v>
      </c>
      <c r="H638" s="6" t="s">
        <v>105</v>
      </c>
      <c r="I638" s="7"/>
      <c r="J638" t="s">
        <v>90</v>
      </c>
      <c r="K638" t="s">
        <v>90</v>
      </c>
    </row>
    <row r="639">
      <c r="A639" s="9">
        <v>45911</v>
      </c>
      <c r="B639" s="6">
        <v>3</v>
      </c>
      <c r="C639" s="7" t="s">
        <v>79</v>
      </c>
      <c r="D639" s="7" t="s">
        <v>33</v>
      </c>
      <c r="E639" s="6">
        <v>3</v>
      </c>
      <c r="F639" s="6" t="s">
        <v>103</v>
      </c>
      <c r="G639" s="6" t="s">
        <v>104</v>
      </c>
      <c r="H639" s="6" t="s">
        <v>105</v>
      </c>
      <c r="I639" s="7"/>
      <c r="J639" t="s">
        <v>90</v>
      </c>
      <c r="K639" t="s">
        <v>138</v>
      </c>
    </row>
    <row r="640">
      <c r="A640" s="9">
        <v>45911</v>
      </c>
      <c r="B640" s="6">
        <v>13</v>
      </c>
      <c r="C640" s="7" t="s">
        <v>79</v>
      </c>
      <c r="D640" s="7" t="s">
        <v>33</v>
      </c>
      <c r="E640" s="6">
        <v>3</v>
      </c>
      <c r="F640" s="6" t="s">
        <v>103</v>
      </c>
      <c r="G640" s="6" t="s">
        <v>104</v>
      </c>
      <c r="H640" s="6" t="s">
        <v>105</v>
      </c>
      <c r="I640" s="7"/>
      <c r="J640" t="s">
        <v>90</v>
      </c>
      <c r="K640" t="s">
        <v>139</v>
      </c>
    </row>
    <row r="641">
      <c r="A641" s="22">
        <v>45911</v>
      </c>
      <c r="B641" s="6">
        <v>51</v>
      </c>
      <c r="C641" s="7" t="s">
        <v>79</v>
      </c>
      <c r="D641" s="7" t="s">
        <v>33</v>
      </c>
      <c r="E641" s="6">
        <v>3</v>
      </c>
      <c r="F641" s="6" t="s">
        <v>103</v>
      </c>
      <c r="G641" s="6" t="s">
        <v>104</v>
      </c>
      <c r="H641" s="6" t="s">
        <v>105</v>
      </c>
      <c r="I641" s="7"/>
      <c r="J641" t="s">
        <v>90</v>
      </c>
      <c r="K641" t="s">
        <v>135</v>
      </c>
    </row>
    <row r="642">
      <c r="A642" s="22">
        <v>45911</v>
      </c>
      <c r="B642" s="6">
        <v>31</v>
      </c>
      <c r="C642" s="7" t="s">
        <v>79</v>
      </c>
      <c r="D642" s="7" t="s">
        <v>33</v>
      </c>
      <c r="E642" s="6">
        <v>3</v>
      </c>
      <c r="F642" s="6" t="s">
        <v>103</v>
      </c>
      <c r="G642" s="6" t="s">
        <v>104</v>
      </c>
      <c r="H642" s="6" t="s">
        <v>105</v>
      </c>
      <c r="I642" s="7"/>
      <c r="J642" t="s">
        <v>90</v>
      </c>
      <c r="K642" t="s">
        <v>136</v>
      </c>
    </row>
    <row r="643">
      <c r="A643" s="22">
        <v>45911</v>
      </c>
      <c r="B643" s="6">
        <v>10</v>
      </c>
      <c r="C643" s="7" t="s">
        <v>79</v>
      </c>
      <c r="D643" s="7" t="s">
        <v>33</v>
      </c>
      <c r="E643" s="6">
        <v>3</v>
      </c>
      <c r="F643" s="6" t="s">
        <v>103</v>
      </c>
      <c r="G643" s="6" t="s">
        <v>104</v>
      </c>
      <c r="H643" s="6" t="s">
        <v>105</v>
      </c>
      <c r="I643" s="7"/>
      <c r="J643" t="s">
        <v>90</v>
      </c>
      <c r="K643" t="s">
        <v>138</v>
      </c>
    </row>
    <row r="644">
      <c r="A644" s="22">
        <v>45911</v>
      </c>
      <c r="B644" s="6">
        <v>27</v>
      </c>
      <c r="C644" s="7" t="s">
        <v>79</v>
      </c>
      <c r="D644" s="7" t="s">
        <v>33</v>
      </c>
      <c r="E644" s="6">
        <v>3</v>
      </c>
      <c r="F644" s="6" t="s">
        <v>103</v>
      </c>
      <c r="G644" s="6" t="s">
        <v>104</v>
      </c>
      <c r="H644" s="6" t="s">
        <v>105</v>
      </c>
      <c r="I644" s="7"/>
      <c r="J644" t="s">
        <v>90</v>
      </c>
      <c r="K644" t="s">
        <v>139</v>
      </c>
    </row>
    <row r="645">
      <c r="A645" s="9">
        <v>45918</v>
      </c>
      <c r="B645" s="6">
        <v>115</v>
      </c>
      <c r="C645" s="7" t="s">
        <v>79</v>
      </c>
      <c r="D645" s="7" t="s">
        <v>33</v>
      </c>
      <c r="E645" s="6">
        <v>3</v>
      </c>
      <c r="F645" s="6" t="s">
        <v>103</v>
      </c>
      <c r="G645" s="6" t="s">
        <v>104</v>
      </c>
      <c r="H645" s="6" t="s">
        <v>105</v>
      </c>
      <c r="I645" s="7"/>
      <c r="J645" t="s">
        <v>90</v>
      </c>
      <c r="K645" t="s">
        <v>135</v>
      </c>
    </row>
    <row r="646">
      <c r="A646" s="9">
        <v>45918</v>
      </c>
      <c r="B646" s="6">
        <v>97</v>
      </c>
      <c r="C646" s="7" t="s">
        <v>79</v>
      </c>
      <c r="D646" s="7" t="s">
        <v>33</v>
      </c>
      <c r="E646" s="6">
        <v>3</v>
      </c>
      <c r="F646" s="6" t="s">
        <v>103</v>
      </c>
      <c r="G646" s="6" t="s">
        <v>104</v>
      </c>
      <c r="H646" s="6" t="s">
        <v>105</v>
      </c>
      <c r="I646" s="7"/>
      <c r="J646" t="s">
        <v>90</v>
      </c>
      <c r="K646" t="s">
        <v>136</v>
      </c>
    </row>
    <row r="647">
      <c r="A647" s="9">
        <v>45918</v>
      </c>
      <c r="B647" s="6">
        <v>20</v>
      </c>
      <c r="C647" s="7" t="s">
        <v>79</v>
      </c>
      <c r="D647" s="7" t="s">
        <v>33</v>
      </c>
      <c r="E647" s="6">
        <v>3</v>
      </c>
      <c r="F647" s="6" t="s">
        <v>103</v>
      </c>
      <c r="G647" s="6" t="s">
        <v>104</v>
      </c>
      <c r="H647" s="6" t="s">
        <v>105</v>
      </c>
      <c r="I647" s="7"/>
      <c r="J647" t="s">
        <v>90</v>
      </c>
      <c r="K647" t="s">
        <v>138</v>
      </c>
    </row>
    <row r="648">
      <c r="A648" s="9">
        <v>45918</v>
      </c>
      <c r="B648" s="6">
        <v>70</v>
      </c>
      <c r="C648" s="7" t="s">
        <v>79</v>
      </c>
      <c r="D648" s="7" t="s">
        <v>33</v>
      </c>
      <c r="E648" s="6">
        <v>3</v>
      </c>
      <c r="F648" s="6" t="s">
        <v>103</v>
      </c>
      <c r="G648" s="6" t="s">
        <v>104</v>
      </c>
      <c r="H648" s="6" t="s">
        <v>105</v>
      </c>
      <c r="I648" s="7"/>
      <c r="J648" t="s">
        <v>90</v>
      </c>
      <c r="K648" t="s">
        <v>139</v>
      </c>
    </row>
    <row r="649">
      <c r="A649" s="9">
        <v>45925</v>
      </c>
      <c r="B649" s="6">
        <v>74</v>
      </c>
      <c r="C649" s="7" t="s">
        <v>79</v>
      </c>
      <c r="D649" s="7" t="s">
        <v>33</v>
      </c>
      <c r="E649" s="6">
        <v>3</v>
      </c>
      <c r="F649" s="6" t="s">
        <v>103</v>
      </c>
      <c r="G649" s="6" t="s">
        <v>104</v>
      </c>
      <c r="H649" s="6" t="s">
        <v>105</v>
      </c>
      <c r="I649" s="7"/>
      <c r="J649" t="s">
        <v>90</v>
      </c>
      <c r="K649" t="s">
        <v>135</v>
      </c>
    </row>
    <row r="650">
      <c r="A650" s="9">
        <v>45925</v>
      </c>
      <c r="B650" s="6">
        <v>75</v>
      </c>
      <c r="C650" s="7" t="s">
        <v>79</v>
      </c>
      <c r="D650" s="7" t="s">
        <v>33</v>
      </c>
      <c r="E650" s="6">
        <v>3</v>
      </c>
      <c r="F650" s="6" t="s">
        <v>103</v>
      </c>
      <c r="G650" s="6" t="s">
        <v>104</v>
      </c>
      <c r="H650" s="6" t="s">
        <v>105</v>
      </c>
      <c r="I650" s="7"/>
      <c r="J650" t="s">
        <v>90</v>
      </c>
      <c r="K650" t="s">
        <v>136</v>
      </c>
    </row>
    <row r="651">
      <c r="A651" s="9">
        <v>45925</v>
      </c>
      <c r="B651" s="6">
        <v>1</v>
      </c>
      <c r="C651" s="7" t="s">
        <v>79</v>
      </c>
      <c r="D651" s="7" t="s">
        <v>33</v>
      </c>
      <c r="E651" s="6">
        <v>3</v>
      </c>
      <c r="F651" s="6" t="s">
        <v>103</v>
      </c>
      <c r="G651" s="6" t="s">
        <v>104</v>
      </c>
      <c r="H651" s="6" t="s">
        <v>105</v>
      </c>
      <c r="I651" s="7"/>
      <c r="J651" t="s">
        <v>90</v>
      </c>
      <c r="K651" t="s">
        <v>137</v>
      </c>
    </row>
    <row r="652">
      <c r="A652" s="9">
        <v>45925</v>
      </c>
      <c r="B652" s="6">
        <v>24</v>
      </c>
      <c r="C652" s="7" t="s">
        <v>79</v>
      </c>
      <c r="D652" s="7" t="s">
        <v>33</v>
      </c>
      <c r="E652" s="6">
        <v>3</v>
      </c>
      <c r="F652" s="6" t="s">
        <v>103</v>
      </c>
      <c r="G652" s="6" t="s">
        <v>104</v>
      </c>
      <c r="H652" s="6" t="s">
        <v>105</v>
      </c>
      <c r="I652" s="7"/>
      <c r="J652" t="s">
        <v>90</v>
      </c>
      <c r="K652" t="s">
        <v>138</v>
      </c>
    </row>
    <row r="653">
      <c r="A653" s="9">
        <v>45925</v>
      </c>
      <c r="B653" s="6">
        <v>38</v>
      </c>
      <c r="C653" s="7" t="s">
        <v>79</v>
      </c>
      <c r="D653" s="7" t="s">
        <v>33</v>
      </c>
      <c r="E653" s="6">
        <v>3</v>
      </c>
      <c r="F653" s="6" t="s">
        <v>103</v>
      </c>
      <c r="G653" s="6" t="s">
        <v>104</v>
      </c>
      <c r="H653" s="6" t="s">
        <v>105</v>
      </c>
      <c r="I653" s="7"/>
      <c r="J653" t="s">
        <v>90</v>
      </c>
      <c r="K653" t="s">
        <v>139</v>
      </c>
    </row>
    <row r="654">
      <c r="A654" s="9">
        <v>45932</v>
      </c>
      <c r="B654" s="6">
        <v>88</v>
      </c>
      <c r="C654" s="7" t="s">
        <v>79</v>
      </c>
      <c r="D654" s="7" t="s">
        <v>33</v>
      </c>
      <c r="E654" s="6">
        <v>3</v>
      </c>
      <c r="F654" s="6" t="s">
        <v>103</v>
      </c>
      <c r="G654" s="6" t="s">
        <v>104</v>
      </c>
      <c r="H654" s="6" t="s">
        <v>105</v>
      </c>
      <c r="I654" s="7"/>
      <c r="J654" t="s">
        <v>90</v>
      </c>
      <c r="K654" t="s">
        <v>135</v>
      </c>
    </row>
    <row r="655">
      <c r="A655" s="9">
        <v>45932</v>
      </c>
      <c r="B655" s="6">
        <v>91</v>
      </c>
      <c r="C655" s="7" t="s">
        <v>79</v>
      </c>
      <c r="D655" s="7" t="s">
        <v>33</v>
      </c>
      <c r="E655" s="6">
        <v>3</v>
      </c>
      <c r="F655" s="6" t="s">
        <v>103</v>
      </c>
      <c r="G655" s="6" t="s">
        <v>104</v>
      </c>
      <c r="H655" s="6" t="s">
        <v>105</v>
      </c>
      <c r="I655" s="7"/>
      <c r="J655" t="s">
        <v>90</v>
      </c>
      <c r="K655" t="s">
        <v>136</v>
      </c>
    </row>
    <row r="656">
      <c r="A656" s="9">
        <v>45932</v>
      </c>
      <c r="B656" s="6">
        <v>34</v>
      </c>
      <c r="C656" s="7" t="s">
        <v>79</v>
      </c>
      <c r="D656" s="7" t="s">
        <v>33</v>
      </c>
      <c r="E656" s="6">
        <v>3</v>
      </c>
      <c r="F656" s="6" t="s">
        <v>103</v>
      </c>
      <c r="G656" s="6" t="s">
        <v>104</v>
      </c>
      <c r="H656" s="6" t="s">
        <v>105</v>
      </c>
      <c r="I656" s="7"/>
      <c r="J656" t="s">
        <v>90</v>
      </c>
      <c r="K656" t="s">
        <v>138</v>
      </c>
    </row>
    <row r="657">
      <c r="A657" s="9">
        <v>45932</v>
      </c>
      <c r="B657" s="6">
        <v>50</v>
      </c>
      <c r="C657" s="7" t="s">
        <v>79</v>
      </c>
      <c r="D657" s="7" t="s">
        <v>33</v>
      </c>
      <c r="E657" s="6">
        <v>3</v>
      </c>
      <c r="F657" s="6" t="s">
        <v>103</v>
      </c>
      <c r="G657" s="6" t="s">
        <v>104</v>
      </c>
      <c r="H657" s="6" t="s">
        <v>105</v>
      </c>
      <c r="I657" s="7"/>
      <c r="J657" t="s">
        <v>90</v>
      </c>
      <c r="K657" t="s">
        <v>139</v>
      </c>
    </row>
    <row r="658">
      <c r="A658" s="9">
        <v>45939</v>
      </c>
      <c r="B658" s="6">
        <v>70</v>
      </c>
      <c r="C658" s="7" t="s">
        <v>79</v>
      </c>
      <c r="D658" s="7" t="s">
        <v>33</v>
      </c>
      <c r="E658" s="6">
        <v>3</v>
      </c>
      <c r="F658" s="6" t="s">
        <v>103</v>
      </c>
      <c r="G658" s="6" t="s">
        <v>104</v>
      </c>
      <c r="H658" s="6" t="s">
        <v>105</v>
      </c>
      <c r="I658" s="7"/>
      <c r="J658" t="s">
        <v>90</v>
      </c>
      <c r="K658" t="s">
        <v>135</v>
      </c>
    </row>
    <row r="659">
      <c r="A659" s="9">
        <v>45939</v>
      </c>
      <c r="B659" s="6">
        <v>61</v>
      </c>
      <c r="C659" s="7" t="s">
        <v>79</v>
      </c>
      <c r="D659" s="7" t="s">
        <v>33</v>
      </c>
      <c r="E659" s="6">
        <v>3</v>
      </c>
      <c r="F659" s="6" t="s">
        <v>103</v>
      </c>
      <c r="G659" s="6" t="s">
        <v>104</v>
      </c>
      <c r="H659" s="6" t="s">
        <v>105</v>
      </c>
      <c r="I659" s="7"/>
      <c r="J659" t="s">
        <v>90</v>
      </c>
      <c r="K659" t="s">
        <v>136</v>
      </c>
    </row>
    <row r="660">
      <c r="A660" s="9">
        <v>45939</v>
      </c>
      <c r="B660" s="6">
        <v>1</v>
      </c>
      <c r="C660" s="7" t="s">
        <v>79</v>
      </c>
      <c r="D660" s="7" t="s">
        <v>33</v>
      </c>
      <c r="E660" s="6">
        <v>3</v>
      </c>
      <c r="F660" s="6" t="s">
        <v>103</v>
      </c>
      <c r="G660" s="6" t="s">
        <v>104</v>
      </c>
      <c r="H660" s="6" t="s">
        <v>105</v>
      </c>
      <c r="I660" s="7"/>
      <c r="J660" t="s">
        <v>90</v>
      </c>
      <c r="K660" t="s">
        <v>137</v>
      </c>
    </row>
    <row r="661">
      <c r="A661" s="9">
        <v>45939</v>
      </c>
      <c r="B661" s="6">
        <v>16</v>
      </c>
      <c r="C661" s="7" t="s">
        <v>79</v>
      </c>
      <c r="D661" s="7" t="s">
        <v>33</v>
      </c>
      <c r="E661" s="6">
        <v>3</v>
      </c>
      <c r="F661" s="6" t="s">
        <v>103</v>
      </c>
      <c r="G661" s="6" t="s">
        <v>104</v>
      </c>
      <c r="H661" s="6" t="s">
        <v>105</v>
      </c>
      <c r="I661" s="7"/>
      <c r="J661" t="s">
        <v>90</v>
      </c>
      <c r="K661" t="s">
        <v>138</v>
      </c>
    </row>
    <row r="662">
      <c r="A662" s="9">
        <v>45939</v>
      </c>
      <c r="B662" s="6">
        <v>31</v>
      </c>
      <c r="C662" s="7" t="s">
        <v>79</v>
      </c>
      <c r="D662" s="7" t="s">
        <v>33</v>
      </c>
      <c r="E662" s="6">
        <v>3</v>
      </c>
      <c r="F662" s="6" t="s">
        <v>103</v>
      </c>
      <c r="G662" s="6" t="s">
        <v>104</v>
      </c>
      <c r="H662" s="6" t="s">
        <v>105</v>
      </c>
      <c r="I662" s="7"/>
      <c r="J662" t="s">
        <v>90</v>
      </c>
      <c r="K662" t="s">
        <v>139</v>
      </c>
    </row>
    <row r="663">
      <c r="A663" s="9">
        <v>45946</v>
      </c>
      <c r="B663" s="6">
        <v>78</v>
      </c>
      <c r="C663" s="7" t="s">
        <v>79</v>
      </c>
      <c r="D663" s="7" t="s">
        <v>33</v>
      </c>
      <c r="E663" s="6">
        <v>3</v>
      </c>
      <c r="F663" s="6" t="s">
        <v>103</v>
      </c>
      <c r="G663" s="6" t="s">
        <v>104</v>
      </c>
      <c r="H663" s="6" t="s">
        <v>105</v>
      </c>
      <c r="I663" s="7"/>
      <c r="J663" t="s">
        <v>90</v>
      </c>
      <c r="K663" t="s">
        <v>135</v>
      </c>
    </row>
    <row r="664">
      <c r="A664" s="9">
        <v>45946</v>
      </c>
      <c r="B664" s="6">
        <v>69</v>
      </c>
      <c r="C664" s="7" t="s">
        <v>79</v>
      </c>
      <c r="D664" s="7" t="s">
        <v>33</v>
      </c>
      <c r="E664" s="6">
        <v>3</v>
      </c>
      <c r="F664" s="6" t="s">
        <v>103</v>
      </c>
      <c r="G664" s="6" t="s">
        <v>104</v>
      </c>
      <c r="H664" s="6" t="s">
        <v>105</v>
      </c>
      <c r="I664" s="7"/>
      <c r="J664" t="s">
        <v>90</v>
      </c>
      <c r="K664" t="s">
        <v>136</v>
      </c>
    </row>
    <row r="665">
      <c r="A665" s="9">
        <v>45946</v>
      </c>
      <c r="B665" s="6">
        <v>7</v>
      </c>
      <c r="C665" s="7" t="s">
        <v>79</v>
      </c>
      <c r="D665" s="7" t="s">
        <v>33</v>
      </c>
      <c r="E665" s="6">
        <v>3</v>
      </c>
      <c r="F665" s="6" t="s">
        <v>103</v>
      </c>
      <c r="G665" s="6" t="s">
        <v>104</v>
      </c>
      <c r="H665" s="6" t="s">
        <v>105</v>
      </c>
      <c r="I665" s="7"/>
      <c r="J665" t="s">
        <v>90</v>
      </c>
      <c r="K665" t="s">
        <v>137</v>
      </c>
    </row>
    <row r="666">
      <c r="A666" s="9">
        <v>45946</v>
      </c>
      <c r="B666" s="6">
        <v>14</v>
      </c>
      <c r="C666" s="7" t="s">
        <v>79</v>
      </c>
      <c r="D666" s="7" t="s">
        <v>33</v>
      </c>
      <c r="E666" s="6">
        <v>3</v>
      </c>
      <c r="F666" s="6" t="s">
        <v>103</v>
      </c>
      <c r="G666" s="6" t="s">
        <v>104</v>
      </c>
      <c r="H666" s="6" t="s">
        <v>105</v>
      </c>
      <c r="I666" s="7"/>
      <c r="J666" t="s">
        <v>90</v>
      </c>
      <c r="K666" t="s">
        <v>138</v>
      </c>
    </row>
    <row r="667">
      <c r="A667" s="9">
        <v>45946</v>
      </c>
      <c r="B667" s="6">
        <v>36</v>
      </c>
      <c r="C667" s="7" t="s">
        <v>79</v>
      </c>
      <c r="D667" s="7" t="s">
        <v>33</v>
      </c>
      <c r="E667" s="6">
        <v>3</v>
      </c>
      <c r="F667" s="6" t="s">
        <v>103</v>
      </c>
      <c r="G667" s="6" t="s">
        <v>104</v>
      </c>
      <c r="H667" s="6" t="s">
        <v>105</v>
      </c>
      <c r="I667" s="7"/>
      <c r="J667" t="s">
        <v>90</v>
      </c>
      <c r="K667" t="s">
        <v>139</v>
      </c>
    </row>
    <row r="668">
      <c r="A668" s="9">
        <v>45953</v>
      </c>
      <c r="B668" s="6">
        <v>85</v>
      </c>
      <c r="C668" s="7" t="s">
        <v>79</v>
      </c>
      <c r="D668" s="7" t="s">
        <v>33</v>
      </c>
      <c r="E668" s="6">
        <v>3</v>
      </c>
      <c r="F668" s="6" t="s">
        <v>103</v>
      </c>
      <c r="G668" s="6" t="s">
        <v>104</v>
      </c>
      <c r="H668" s="6" t="s">
        <v>105</v>
      </c>
      <c r="I668" s="7"/>
      <c r="J668" t="s">
        <v>90</v>
      </c>
      <c r="K668" t="s">
        <v>135</v>
      </c>
    </row>
    <row r="669">
      <c r="A669" s="9">
        <v>45953</v>
      </c>
      <c r="B669" s="6">
        <v>92</v>
      </c>
      <c r="C669" s="7" t="s">
        <v>79</v>
      </c>
      <c r="D669" s="7" t="s">
        <v>33</v>
      </c>
      <c r="E669" s="6">
        <v>3</v>
      </c>
      <c r="F669" s="6" t="s">
        <v>103</v>
      </c>
      <c r="G669" s="6" t="s">
        <v>104</v>
      </c>
      <c r="H669" s="6" t="s">
        <v>105</v>
      </c>
      <c r="I669" s="7"/>
      <c r="J669" t="s">
        <v>90</v>
      </c>
      <c r="K669" t="s">
        <v>136</v>
      </c>
    </row>
    <row r="670">
      <c r="A670" s="9">
        <v>45953</v>
      </c>
      <c r="B670" s="6">
        <v>2</v>
      </c>
      <c r="C670" s="7" t="s">
        <v>79</v>
      </c>
      <c r="D670" s="7" t="s">
        <v>33</v>
      </c>
      <c r="E670" s="6">
        <v>3</v>
      </c>
      <c r="F670" s="6" t="s">
        <v>103</v>
      </c>
      <c r="G670" s="6" t="s">
        <v>104</v>
      </c>
      <c r="H670" s="6" t="s">
        <v>105</v>
      </c>
      <c r="I670" s="7"/>
      <c r="J670" t="s">
        <v>90</v>
      </c>
      <c r="K670" t="s">
        <v>137</v>
      </c>
    </row>
    <row r="671">
      <c r="A671" s="9">
        <v>45953</v>
      </c>
      <c r="B671" s="6">
        <v>23</v>
      </c>
      <c r="C671" s="7" t="s">
        <v>79</v>
      </c>
      <c r="D671" s="7" t="s">
        <v>33</v>
      </c>
      <c r="E671" s="6">
        <v>3</v>
      </c>
      <c r="F671" s="6" t="s">
        <v>103</v>
      </c>
      <c r="G671" s="6" t="s">
        <v>104</v>
      </c>
      <c r="H671" s="6" t="s">
        <v>105</v>
      </c>
      <c r="I671" s="7"/>
      <c r="J671" t="s">
        <v>90</v>
      </c>
      <c r="K671" t="s">
        <v>138</v>
      </c>
    </row>
    <row r="672">
      <c r="A672" s="9">
        <v>45953</v>
      </c>
      <c r="B672" s="6">
        <v>47</v>
      </c>
      <c r="C672" s="7" t="s">
        <v>79</v>
      </c>
      <c r="D672" s="7" t="s">
        <v>33</v>
      </c>
      <c r="E672" s="6">
        <v>3</v>
      </c>
      <c r="F672" s="6" t="s">
        <v>103</v>
      </c>
      <c r="G672" s="6" t="s">
        <v>104</v>
      </c>
      <c r="H672" s="6" t="s">
        <v>105</v>
      </c>
      <c r="I672" s="7"/>
      <c r="J672" t="s">
        <v>90</v>
      </c>
      <c r="K672" t="s">
        <v>139</v>
      </c>
    </row>
    <row r="673">
      <c r="A673" s="9">
        <v>45960</v>
      </c>
      <c r="B673" s="6">
        <v>63</v>
      </c>
      <c r="C673" s="7" t="s">
        <v>79</v>
      </c>
      <c r="D673" s="7" t="s">
        <v>33</v>
      </c>
      <c r="E673" s="6">
        <v>3</v>
      </c>
      <c r="F673" s="6" t="s">
        <v>103</v>
      </c>
      <c r="G673" s="6" t="s">
        <v>104</v>
      </c>
      <c r="H673" s="6" t="s">
        <v>105</v>
      </c>
      <c r="I673" s="7"/>
      <c r="J673" t="s">
        <v>90</v>
      </c>
      <c r="K673" t="s">
        <v>135</v>
      </c>
    </row>
    <row r="674">
      <c r="A674" s="9">
        <v>45960</v>
      </c>
      <c r="B674" s="6">
        <v>59</v>
      </c>
      <c r="C674" s="7" t="s">
        <v>79</v>
      </c>
      <c r="D674" s="7" t="s">
        <v>33</v>
      </c>
      <c r="E674" s="6">
        <v>3</v>
      </c>
      <c r="F674" s="6" t="s">
        <v>103</v>
      </c>
      <c r="G674" s="6" t="s">
        <v>104</v>
      </c>
      <c r="H674" s="6" t="s">
        <v>105</v>
      </c>
      <c r="I674" s="7"/>
      <c r="J674" t="s">
        <v>90</v>
      </c>
      <c r="K674" t="s">
        <v>136</v>
      </c>
    </row>
    <row r="675">
      <c r="A675" s="9">
        <v>45960</v>
      </c>
      <c r="B675" s="6">
        <v>1</v>
      </c>
      <c r="C675" s="7" t="s">
        <v>79</v>
      </c>
      <c r="D675" s="7" t="s">
        <v>33</v>
      </c>
      <c r="E675" s="6">
        <v>3</v>
      </c>
      <c r="F675" s="6" t="s">
        <v>103</v>
      </c>
      <c r="G675" s="6" t="s">
        <v>104</v>
      </c>
      <c r="H675" s="6" t="s">
        <v>105</v>
      </c>
      <c r="I675" s="7"/>
      <c r="J675" t="s">
        <v>90</v>
      </c>
      <c r="K675" t="s">
        <v>137</v>
      </c>
    </row>
    <row r="676">
      <c r="A676" s="9">
        <v>45960</v>
      </c>
      <c r="B676" s="6">
        <v>19</v>
      </c>
      <c r="C676" s="7" t="s">
        <v>79</v>
      </c>
      <c r="D676" s="7" t="s">
        <v>33</v>
      </c>
      <c r="E676" s="6">
        <v>3</v>
      </c>
      <c r="F676" s="6" t="s">
        <v>103</v>
      </c>
      <c r="G676" s="6" t="s">
        <v>104</v>
      </c>
      <c r="H676" s="6" t="s">
        <v>105</v>
      </c>
      <c r="I676" s="7"/>
      <c r="J676" t="s">
        <v>90</v>
      </c>
      <c r="K676" t="s">
        <v>138</v>
      </c>
    </row>
    <row r="677">
      <c r="A677" s="9">
        <v>45960</v>
      </c>
      <c r="B677" s="6">
        <v>34</v>
      </c>
      <c r="C677" s="7" t="s">
        <v>79</v>
      </c>
      <c r="D677" s="7" t="s">
        <v>33</v>
      </c>
      <c r="E677" s="6">
        <v>3</v>
      </c>
      <c r="F677" s="6" t="s">
        <v>103</v>
      </c>
      <c r="G677" s="6" t="s">
        <v>104</v>
      </c>
      <c r="H677" s="6" t="s">
        <v>105</v>
      </c>
      <c r="I677" s="7"/>
      <c r="J677" t="s">
        <v>90</v>
      </c>
      <c r="K677" t="s">
        <v>139</v>
      </c>
    </row>
    <row r="678">
      <c r="A678" s="9">
        <v>45967</v>
      </c>
      <c r="B678" s="6">
        <v>62</v>
      </c>
      <c r="C678" s="7" t="s">
        <v>79</v>
      </c>
      <c r="D678" s="7" t="s">
        <v>33</v>
      </c>
      <c r="E678" s="6">
        <v>3</v>
      </c>
      <c r="F678" s="6" t="s">
        <v>103</v>
      </c>
      <c r="G678" s="6" t="s">
        <v>104</v>
      </c>
      <c r="H678" s="6" t="s">
        <v>105</v>
      </c>
      <c r="I678" s="7"/>
      <c r="J678" t="s">
        <v>90</v>
      </c>
      <c r="K678" t="s">
        <v>135</v>
      </c>
    </row>
    <row r="679">
      <c r="A679" s="9">
        <v>45967</v>
      </c>
      <c r="B679" s="6">
        <v>66</v>
      </c>
      <c r="C679" s="7" t="s">
        <v>79</v>
      </c>
      <c r="D679" s="7" t="s">
        <v>33</v>
      </c>
      <c r="E679" s="6">
        <v>3</v>
      </c>
      <c r="F679" s="6" t="s">
        <v>103</v>
      </c>
      <c r="G679" s="6" t="s">
        <v>104</v>
      </c>
      <c r="H679" s="6" t="s">
        <v>105</v>
      </c>
      <c r="I679" s="7"/>
      <c r="J679" t="s">
        <v>90</v>
      </c>
      <c r="K679" t="s">
        <v>136</v>
      </c>
    </row>
    <row r="680">
      <c r="A680" s="9">
        <v>45967</v>
      </c>
      <c r="B680" s="6">
        <v>2</v>
      </c>
      <c r="C680" s="7" t="s">
        <v>79</v>
      </c>
      <c r="D680" s="7" t="s">
        <v>33</v>
      </c>
      <c r="E680" s="6">
        <v>3</v>
      </c>
      <c r="F680" s="6" t="s">
        <v>103</v>
      </c>
      <c r="G680" s="6" t="s">
        <v>104</v>
      </c>
      <c r="H680" s="6" t="s">
        <v>105</v>
      </c>
      <c r="I680" s="7"/>
      <c r="J680" t="s">
        <v>90</v>
      </c>
      <c r="K680" t="s">
        <v>137</v>
      </c>
    </row>
    <row r="681">
      <c r="A681" s="9">
        <v>45967</v>
      </c>
      <c r="B681" s="6">
        <v>15</v>
      </c>
      <c r="C681" s="7" t="s">
        <v>79</v>
      </c>
      <c r="D681" s="7" t="s">
        <v>33</v>
      </c>
      <c r="E681" s="6">
        <v>3</v>
      </c>
      <c r="F681" s="6" t="s">
        <v>103</v>
      </c>
      <c r="G681" s="6" t="s">
        <v>104</v>
      </c>
      <c r="H681" s="6" t="s">
        <v>105</v>
      </c>
      <c r="I681" s="7"/>
      <c r="J681" t="s">
        <v>90</v>
      </c>
      <c r="K681" t="s">
        <v>138</v>
      </c>
    </row>
    <row r="682">
      <c r="A682" s="9">
        <v>45967</v>
      </c>
      <c r="B682" s="6">
        <v>38</v>
      </c>
      <c r="C682" s="7" t="s">
        <v>79</v>
      </c>
      <c r="D682" s="7" t="s">
        <v>33</v>
      </c>
      <c r="E682" s="6">
        <v>3</v>
      </c>
      <c r="F682" s="6" t="s">
        <v>103</v>
      </c>
      <c r="G682" s="6" t="s">
        <v>104</v>
      </c>
      <c r="H682" s="6" t="s">
        <v>105</v>
      </c>
      <c r="I682" s="7"/>
      <c r="J682" t="s">
        <v>90</v>
      </c>
      <c r="K682" t="s">
        <v>139</v>
      </c>
    </row>
    <row r="683">
      <c r="A683" s="9">
        <v>45974</v>
      </c>
      <c r="B683" s="6">
        <v>53</v>
      </c>
      <c r="C683" s="7" t="s">
        <v>79</v>
      </c>
      <c r="D683" s="7" t="s">
        <v>33</v>
      </c>
      <c r="E683" s="6">
        <v>3</v>
      </c>
      <c r="F683" s="6" t="s">
        <v>103</v>
      </c>
      <c r="G683" s="6" t="s">
        <v>104</v>
      </c>
      <c r="H683" s="6" t="s">
        <v>105</v>
      </c>
      <c r="I683" s="7"/>
      <c r="J683" t="s">
        <v>90</v>
      </c>
      <c r="K683" t="s">
        <v>135</v>
      </c>
    </row>
    <row r="684">
      <c r="A684" s="9">
        <v>45974</v>
      </c>
      <c r="B684" s="6">
        <v>47</v>
      </c>
      <c r="C684" s="7" t="s">
        <v>79</v>
      </c>
      <c r="D684" s="7" t="s">
        <v>33</v>
      </c>
      <c r="E684" s="6">
        <v>3</v>
      </c>
      <c r="F684" s="6" t="s">
        <v>103</v>
      </c>
      <c r="G684" s="6" t="s">
        <v>104</v>
      </c>
      <c r="H684" s="6" t="s">
        <v>105</v>
      </c>
      <c r="I684" s="7"/>
      <c r="J684" t="s">
        <v>90</v>
      </c>
      <c r="K684" t="s">
        <v>136</v>
      </c>
    </row>
    <row r="685">
      <c r="A685" s="9">
        <v>45974</v>
      </c>
      <c r="B685" s="6">
        <v>3</v>
      </c>
      <c r="C685" s="7" t="s">
        <v>79</v>
      </c>
      <c r="D685" s="7" t="s">
        <v>33</v>
      </c>
      <c r="E685" s="6">
        <v>3</v>
      </c>
      <c r="F685" s="6" t="s">
        <v>103</v>
      </c>
      <c r="G685" s="6" t="s">
        <v>104</v>
      </c>
      <c r="H685" s="6" t="s">
        <v>105</v>
      </c>
      <c r="I685" s="7"/>
      <c r="J685" t="s">
        <v>90</v>
      </c>
      <c r="K685" t="s">
        <v>137</v>
      </c>
    </row>
    <row r="686">
      <c r="A686" s="9">
        <v>45974</v>
      </c>
      <c r="B686" s="6">
        <v>11</v>
      </c>
      <c r="C686" s="7" t="s">
        <v>79</v>
      </c>
      <c r="D686" s="7" t="s">
        <v>33</v>
      </c>
      <c r="E686" s="6">
        <v>3</v>
      </c>
      <c r="F686" s="6" t="s">
        <v>103</v>
      </c>
      <c r="G686" s="6" t="s">
        <v>104</v>
      </c>
      <c r="H686" s="6" t="s">
        <v>105</v>
      </c>
      <c r="I686" s="7"/>
      <c r="J686" t="s">
        <v>90</v>
      </c>
      <c r="K686" t="s">
        <v>138</v>
      </c>
    </row>
    <row r="687">
      <c r="A687" s="9">
        <v>45974</v>
      </c>
      <c r="B687" s="6">
        <v>28</v>
      </c>
      <c r="C687" s="7" t="s">
        <v>79</v>
      </c>
      <c r="D687" s="7" t="s">
        <v>33</v>
      </c>
      <c r="E687" s="6">
        <v>3</v>
      </c>
      <c r="F687" s="6" t="s">
        <v>103</v>
      </c>
      <c r="G687" s="6" t="s">
        <v>104</v>
      </c>
      <c r="H687" s="6" t="s">
        <v>105</v>
      </c>
      <c r="I687" s="7"/>
      <c r="J687" t="s">
        <v>90</v>
      </c>
      <c r="K687" t="s">
        <v>139</v>
      </c>
    </row>
    <row r="688">
      <c r="A688" s="9">
        <v>45981</v>
      </c>
      <c r="B688" s="6">
        <v>1</v>
      </c>
      <c r="C688" s="7" t="s">
        <v>79</v>
      </c>
      <c r="D688" s="7" t="s">
        <v>33</v>
      </c>
      <c r="E688" s="6">
        <v>3</v>
      </c>
      <c r="F688" s="6" t="s">
        <v>103</v>
      </c>
      <c r="G688" s="6" t="s">
        <v>104</v>
      </c>
      <c r="H688" s="6" t="s">
        <v>105</v>
      </c>
      <c r="I688" s="7"/>
      <c r="J688" t="s">
        <v>90</v>
      </c>
      <c r="K688" t="s">
        <v>140</v>
      </c>
    </row>
    <row r="689">
      <c r="A689" s="9">
        <v>45981</v>
      </c>
      <c r="B689" s="6">
        <v>106</v>
      </c>
      <c r="C689" s="7" t="s">
        <v>79</v>
      </c>
      <c r="D689" s="7" t="s">
        <v>33</v>
      </c>
      <c r="E689" s="6">
        <v>3</v>
      </c>
      <c r="F689" s="6" t="s">
        <v>103</v>
      </c>
      <c r="G689" s="6" t="s">
        <v>104</v>
      </c>
      <c r="H689" s="6" t="s">
        <v>105</v>
      </c>
      <c r="I689" s="7"/>
      <c r="J689" t="s">
        <v>90</v>
      </c>
      <c r="K689" t="s">
        <v>135</v>
      </c>
    </row>
    <row r="690">
      <c r="A690" s="9">
        <v>45981</v>
      </c>
      <c r="B690" s="6">
        <v>84</v>
      </c>
      <c r="C690" s="7" t="s">
        <v>79</v>
      </c>
      <c r="D690" s="7" t="s">
        <v>33</v>
      </c>
      <c r="E690" s="6">
        <v>3</v>
      </c>
      <c r="F690" s="6" t="s">
        <v>103</v>
      </c>
      <c r="G690" s="6" t="s">
        <v>104</v>
      </c>
      <c r="H690" s="6" t="s">
        <v>105</v>
      </c>
      <c r="I690" s="7"/>
      <c r="J690" t="s">
        <v>90</v>
      </c>
      <c r="K690" t="s">
        <v>136</v>
      </c>
    </row>
    <row r="691">
      <c r="A691" s="9">
        <v>45981</v>
      </c>
      <c r="B691" s="6">
        <v>5</v>
      </c>
      <c r="C691" s="7" t="s">
        <v>79</v>
      </c>
      <c r="D691" s="7" t="s">
        <v>33</v>
      </c>
      <c r="E691" s="6">
        <v>3</v>
      </c>
      <c r="F691" s="6" t="s">
        <v>103</v>
      </c>
      <c r="G691" s="6" t="s">
        <v>104</v>
      </c>
      <c r="H691" s="6" t="s">
        <v>105</v>
      </c>
      <c r="I691" s="7"/>
      <c r="J691" t="s">
        <v>90</v>
      </c>
      <c r="K691" t="s">
        <v>137</v>
      </c>
    </row>
    <row r="692">
      <c r="A692" s="9">
        <v>45981</v>
      </c>
      <c r="B692" s="6">
        <v>31</v>
      </c>
      <c r="C692" s="7" t="s">
        <v>79</v>
      </c>
      <c r="D692" s="7" t="s">
        <v>33</v>
      </c>
      <c r="E692" s="6">
        <v>3</v>
      </c>
      <c r="F692" s="6" t="s">
        <v>103</v>
      </c>
      <c r="G692" s="6" t="s">
        <v>104</v>
      </c>
      <c r="H692" s="6" t="s">
        <v>105</v>
      </c>
      <c r="I692" s="7"/>
      <c r="J692" t="s">
        <v>90</v>
      </c>
      <c r="K692" t="s">
        <v>138</v>
      </c>
    </row>
    <row r="693">
      <c r="A693" s="9">
        <v>45981</v>
      </c>
      <c r="B693" s="6">
        <v>45</v>
      </c>
      <c r="C693" s="7" t="s">
        <v>79</v>
      </c>
      <c r="D693" s="7" t="s">
        <v>33</v>
      </c>
      <c r="E693" s="6">
        <v>3</v>
      </c>
      <c r="F693" s="6" t="s">
        <v>103</v>
      </c>
      <c r="G693" s="6" t="s">
        <v>104</v>
      </c>
      <c r="H693" s="6" t="s">
        <v>105</v>
      </c>
      <c r="I693" s="7"/>
      <c r="J693" t="s">
        <v>90</v>
      </c>
      <c r="K693" t="s">
        <v>139</v>
      </c>
    </row>
    <row r="694">
      <c r="A694" s="9">
        <v>45988</v>
      </c>
      <c r="B694" s="6">
        <v>84</v>
      </c>
      <c r="C694" s="7" t="s">
        <v>79</v>
      </c>
      <c r="D694" s="7" t="s">
        <v>33</v>
      </c>
      <c r="E694" s="6">
        <v>3</v>
      </c>
      <c r="F694" s="6" t="s">
        <v>103</v>
      </c>
      <c r="G694" s="6" t="s">
        <v>104</v>
      </c>
      <c r="H694" s="6" t="s">
        <v>105</v>
      </c>
      <c r="I694" s="7"/>
      <c r="J694" t="s">
        <v>90</v>
      </c>
      <c r="K694" t="s">
        <v>135</v>
      </c>
    </row>
    <row r="695">
      <c r="A695" s="9">
        <v>45988</v>
      </c>
      <c r="B695" s="6">
        <v>75</v>
      </c>
      <c r="C695" s="7" t="s">
        <v>79</v>
      </c>
      <c r="D695" s="7" t="s">
        <v>33</v>
      </c>
      <c r="E695" s="6">
        <v>3</v>
      </c>
      <c r="F695" s="6" t="s">
        <v>103</v>
      </c>
      <c r="G695" s="6" t="s">
        <v>104</v>
      </c>
      <c r="H695" s="6" t="s">
        <v>105</v>
      </c>
      <c r="I695" s="7"/>
      <c r="J695" t="s">
        <v>90</v>
      </c>
      <c r="K695" t="s">
        <v>136</v>
      </c>
    </row>
    <row r="696">
      <c r="A696" s="9">
        <v>45988</v>
      </c>
      <c r="B696" s="6">
        <v>4</v>
      </c>
      <c r="C696" s="7" t="s">
        <v>79</v>
      </c>
      <c r="D696" s="7" t="s">
        <v>33</v>
      </c>
      <c r="E696" s="6">
        <v>3</v>
      </c>
      <c r="F696" s="6" t="s">
        <v>103</v>
      </c>
      <c r="G696" s="6" t="s">
        <v>104</v>
      </c>
      <c r="H696" s="6" t="s">
        <v>105</v>
      </c>
      <c r="I696" s="7"/>
      <c r="J696" t="s">
        <v>90</v>
      </c>
      <c r="K696" t="s">
        <v>137</v>
      </c>
    </row>
    <row r="697">
      <c r="A697" s="9">
        <v>45988</v>
      </c>
      <c r="B697" s="6">
        <v>15</v>
      </c>
      <c r="C697" s="7" t="s">
        <v>79</v>
      </c>
      <c r="D697" s="7" t="s">
        <v>33</v>
      </c>
      <c r="E697" s="6">
        <v>3</v>
      </c>
      <c r="F697" s="6" t="s">
        <v>103</v>
      </c>
      <c r="G697" s="6" t="s">
        <v>104</v>
      </c>
      <c r="H697" s="6" t="s">
        <v>105</v>
      </c>
      <c r="I697" s="7"/>
      <c r="J697" t="s">
        <v>90</v>
      </c>
      <c r="K697" t="s">
        <v>138</v>
      </c>
    </row>
    <row r="698">
      <c r="A698" s="9">
        <v>45988</v>
      </c>
      <c r="B698" s="6">
        <v>57</v>
      </c>
      <c r="C698" s="7" t="s">
        <v>79</v>
      </c>
      <c r="D698" s="7" t="s">
        <v>33</v>
      </c>
      <c r="E698" s="6">
        <v>3</v>
      </c>
      <c r="F698" s="6" t="s">
        <v>103</v>
      </c>
      <c r="G698" s="6" t="s">
        <v>104</v>
      </c>
      <c r="H698" s="6" t="s">
        <v>105</v>
      </c>
      <c r="I698" s="7"/>
      <c r="J698" t="s">
        <v>90</v>
      </c>
      <c r="K698" t="s">
        <v>139</v>
      </c>
    </row>
    <row r="699">
      <c r="A699" s="9">
        <v>45995</v>
      </c>
      <c r="B699" s="6">
        <v>130</v>
      </c>
      <c r="C699" s="7" t="s">
        <v>79</v>
      </c>
      <c r="D699" s="7" t="s">
        <v>33</v>
      </c>
      <c r="E699" s="6">
        <v>3</v>
      </c>
      <c r="F699" s="6" t="s">
        <v>103</v>
      </c>
      <c r="G699" s="6" t="s">
        <v>104</v>
      </c>
      <c r="H699" s="6" t="s">
        <v>105</v>
      </c>
      <c r="I699" s="7"/>
      <c r="J699" t="s">
        <v>90</v>
      </c>
      <c r="K699" t="s">
        <v>135</v>
      </c>
    </row>
    <row r="700">
      <c r="A700" s="9">
        <v>45995</v>
      </c>
      <c r="B700" s="6">
        <v>101</v>
      </c>
      <c r="C700" s="7" t="s">
        <v>79</v>
      </c>
      <c r="D700" s="7" t="s">
        <v>33</v>
      </c>
      <c r="E700" s="6">
        <v>3</v>
      </c>
      <c r="F700" s="6" t="s">
        <v>103</v>
      </c>
      <c r="G700" s="6" t="s">
        <v>104</v>
      </c>
      <c r="H700" s="6" t="s">
        <v>105</v>
      </c>
      <c r="I700" s="7"/>
      <c r="J700" t="s">
        <v>90</v>
      </c>
      <c r="K700" t="s">
        <v>136</v>
      </c>
    </row>
    <row r="701">
      <c r="A701" s="9">
        <v>45995</v>
      </c>
      <c r="B701" s="6">
        <v>6</v>
      </c>
      <c r="C701" s="7" t="s">
        <v>79</v>
      </c>
      <c r="D701" s="7" t="s">
        <v>33</v>
      </c>
      <c r="E701" s="6">
        <v>3</v>
      </c>
      <c r="F701" s="6" t="s">
        <v>103</v>
      </c>
      <c r="G701" s="6" t="s">
        <v>104</v>
      </c>
      <c r="H701" s="6" t="s">
        <v>105</v>
      </c>
      <c r="I701" s="7"/>
      <c r="J701" t="s">
        <v>90</v>
      </c>
      <c r="K701" t="s">
        <v>137</v>
      </c>
    </row>
    <row r="702">
      <c r="A702" s="9">
        <v>45995</v>
      </c>
      <c r="B702" s="6">
        <v>37</v>
      </c>
      <c r="C702" s="7" t="s">
        <v>79</v>
      </c>
      <c r="D702" s="7" t="s">
        <v>33</v>
      </c>
      <c r="E702" s="6">
        <v>3</v>
      </c>
      <c r="F702" s="6" t="s">
        <v>103</v>
      </c>
      <c r="G702" s="6" t="s">
        <v>104</v>
      </c>
      <c r="H702" s="6" t="s">
        <v>105</v>
      </c>
      <c r="I702" s="7"/>
      <c r="J702" t="s">
        <v>90</v>
      </c>
      <c r="K702" t="s">
        <v>138</v>
      </c>
    </row>
    <row r="703">
      <c r="A703" s="9">
        <v>45995</v>
      </c>
      <c r="B703" s="6">
        <v>56</v>
      </c>
      <c r="C703" s="7" t="s">
        <v>79</v>
      </c>
      <c r="D703" s="7" t="s">
        <v>33</v>
      </c>
      <c r="E703" s="6">
        <v>3</v>
      </c>
      <c r="F703" s="6" t="s">
        <v>103</v>
      </c>
      <c r="G703" s="6" t="s">
        <v>104</v>
      </c>
      <c r="H703" s="6" t="s">
        <v>105</v>
      </c>
      <c r="I703" s="7"/>
      <c r="J703" t="s">
        <v>90</v>
      </c>
      <c r="K703" t="s">
        <v>139</v>
      </c>
    </row>
    <row r="704">
      <c r="A704" s="9">
        <v>46002</v>
      </c>
      <c r="B704" s="6">
        <v>81</v>
      </c>
      <c r="C704" s="7" t="s">
        <v>79</v>
      </c>
      <c r="D704" s="7" t="s">
        <v>33</v>
      </c>
      <c r="E704" s="6">
        <v>3</v>
      </c>
      <c r="F704" s="6" t="s">
        <v>103</v>
      </c>
      <c r="G704" s="6" t="s">
        <v>104</v>
      </c>
      <c r="H704" s="6" t="s">
        <v>105</v>
      </c>
      <c r="I704" s="7"/>
      <c r="J704" t="s">
        <v>90</v>
      </c>
      <c r="K704" t="s">
        <v>135</v>
      </c>
    </row>
    <row r="705">
      <c r="A705" s="9">
        <v>46002</v>
      </c>
      <c r="B705" s="6">
        <v>81</v>
      </c>
      <c r="C705" s="7" t="s">
        <v>79</v>
      </c>
      <c r="D705" s="7" t="s">
        <v>33</v>
      </c>
      <c r="E705" s="6">
        <v>3</v>
      </c>
      <c r="F705" s="6" t="s">
        <v>103</v>
      </c>
      <c r="G705" s="6" t="s">
        <v>104</v>
      </c>
      <c r="H705" s="6" t="s">
        <v>105</v>
      </c>
      <c r="I705" s="7"/>
      <c r="J705" t="s">
        <v>90</v>
      </c>
      <c r="K705" t="s">
        <v>136</v>
      </c>
    </row>
    <row r="706">
      <c r="A706" s="9">
        <v>46002</v>
      </c>
      <c r="B706" s="6">
        <v>2</v>
      </c>
      <c r="C706" s="7" t="s">
        <v>79</v>
      </c>
      <c r="D706" s="7" t="s">
        <v>33</v>
      </c>
      <c r="E706" s="6">
        <v>3</v>
      </c>
      <c r="F706" s="6" t="s">
        <v>103</v>
      </c>
      <c r="G706" s="6" t="s">
        <v>104</v>
      </c>
      <c r="H706" s="6" t="s">
        <v>105</v>
      </c>
      <c r="I706" s="7"/>
      <c r="J706" t="s">
        <v>90</v>
      </c>
      <c r="K706" t="s">
        <v>137</v>
      </c>
    </row>
    <row r="707">
      <c r="A707" s="9">
        <v>46002</v>
      </c>
      <c r="B707" s="6">
        <v>17</v>
      </c>
      <c r="C707" s="7" t="s">
        <v>79</v>
      </c>
      <c r="D707" s="7" t="s">
        <v>33</v>
      </c>
      <c r="E707" s="6">
        <v>3</v>
      </c>
      <c r="F707" s="6" t="s">
        <v>103</v>
      </c>
      <c r="G707" s="6" t="s">
        <v>104</v>
      </c>
      <c r="H707" s="6" t="s">
        <v>105</v>
      </c>
      <c r="I707" s="7"/>
      <c r="J707" t="s">
        <v>90</v>
      </c>
      <c r="K707" t="s">
        <v>138</v>
      </c>
    </row>
    <row r="708">
      <c r="A708" s="9">
        <v>46002</v>
      </c>
      <c r="B708" s="6">
        <v>48</v>
      </c>
      <c r="C708" s="7" t="s">
        <v>79</v>
      </c>
      <c r="D708" s="7" t="s">
        <v>33</v>
      </c>
      <c r="E708" s="6">
        <v>3</v>
      </c>
      <c r="F708" s="6" t="s">
        <v>103</v>
      </c>
      <c r="G708" s="6" t="s">
        <v>104</v>
      </c>
      <c r="H708" s="6" t="s">
        <v>105</v>
      </c>
      <c r="I708" s="7"/>
      <c r="J708" t="s">
        <v>90</v>
      </c>
      <c r="K708" t="s">
        <v>139</v>
      </c>
    </row>
    <row r="709">
      <c r="A709" s="9">
        <v>46009</v>
      </c>
      <c r="B709" s="6">
        <v>160</v>
      </c>
      <c r="C709" s="7" t="s">
        <v>79</v>
      </c>
      <c r="D709" s="7" t="s">
        <v>33</v>
      </c>
      <c r="E709" s="6">
        <v>3</v>
      </c>
      <c r="F709" s="6" t="s">
        <v>103</v>
      </c>
      <c r="G709" s="6" t="s">
        <v>104</v>
      </c>
      <c r="H709" s="6" t="s">
        <v>105</v>
      </c>
      <c r="I709" s="7"/>
      <c r="J709" t="s">
        <v>90</v>
      </c>
      <c r="K709" t="s">
        <v>135</v>
      </c>
    </row>
    <row r="710">
      <c r="A710" s="9">
        <v>46009</v>
      </c>
      <c r="B710" s="6">
        <v>187</v>
      </c>
      <c r="C710" s="7" t="s">
        <v>79</v>
      </c>
      <c r="D710" s="7" t="s">
        <v>33</v>
      </c>
      <c r="E710" s="6">
        <v>3</v>
      </c>
      <c r="F710" s="6" t="s">
        <v>103</v>
      </c>
      <c r="G710" s="6" t="s">
        <v>104</v>
      </c>
      <c r="H710" s="6" t="s">
        <v>105</v>
      </c>
      <c r="I710" s="7"/>
      <c r="J710" t="s">
        <v>90</v>
      </c>
      <c r="K710" t="s">
        <v>136</v>
      </c>
    </row>
    <row r="711">
      <c r="A711" s="9">
        <v>46009</v>
      </c>
      <c r="B711" s="6">
        <v>5</v>
      </c>
      <c r="C711" s="7" t="s">
        <v>79</v>
      </c>
      <c r="D711" s="7" t="s">
        <v>33</v>
      </c>
      <c r="E711" s="6">
        <v>3</v>
      </c>
      <c r="F711" s="6" t="s">
        <v>103</v>
      </c>
      <c r="G711" s="6" t="s">
        <v>104</v>
      </c>
      <c r="H711" s="6" t="s">
        <v>105</v>
      </c>
      <c r="I711" s="7"/>
      <c r="J711" t="s">
        <v>90</v>
      </c>
      <c r="K711" t="s">
        <v>137</v>
      </c>
    </row>
    <row r="712">
      <c r="A712" s="9">
        <v>46009</v>
      </c>
      <c r="B712" s="6">
        <v>55</v>
      </c>
      <c r="C712" s="7" t="s">
        <v>79</v>
      </c>
      <c r="D712" s="7" t="s">
        <v>33</v>
      </c>
      <c r="E712" s="6">
        <v>3</v>
      </c>
      <c r="F712" s="6" t="s">
        <v>103</v>
      </c>
      <c r="G712" s="6" t="s">
        <v>104</v>
      </c>
      <c r="H712" s="6" t="s">
        <v>105</v>
      </c>
      <c r="I712" s="7"/>
      <c r="J712" t="s">
        <v>90</v>
      </c>
      <c r="K712" t="s">
        <v>138</v>
      </c>
    </row>
    <row r="713">
      <c r="A713" s="9">
        <v>46009</v>
      </c>
      <c r="B713" s="6">
        <v>92</v>
      </c>
      <c r="C713" s="7" t="s">
        <v>79</v>
      </c>
      <c r="D713" s="7" t="s">
        <v>33</v>
      </c>
      <c r="E713" s="6">
        <v>3</v>
      </c>
      <c r="F713" s="6" t="s">
        <v>103</v>
      </c>
      <c r="G713" s="6" t="s">
        <v>104</v>
      </c>
      <c r="H713" s="6" t="s">
        <v>105</v>
      </c>
      <c r="I713" s="7"/>
      <c r="J713" t="s">
        <v>90</v>
      </c>
      <c r="K713" t="s">
        <v>139</v>
      </c>
    </row>
    <row r="714">
      <c r="A714" s="9">
        <v>46016</v>
      </c>
      <c r="B714" s="6">
        <v>1</v>
      </c>
      <c r="C714" s="7" t="s">
        <v>79</v>
      </c>
      <c r="D714" s="7" t="s">
        <v>33</v>
      </c>
      <c r="E714" s="6">
        <v>3</v>
      </c>
      <c r="F714" s="6" t="s">
        <v>103</v>
      </c>
      <c r="G714" s="6" t="s">
        <v>104</v>
      </c>
      <c r="H714" s="6" t="s">
        <v>105</v>
      </c>
      <c r="I714" s="7"/>
      <c r="J714" t="s">
        <v>90</v>
      </c>
      <c r="K714" t="s">
        <v>140</v>
      </c>
    </row>
    <row r="715">
      <c r="A715" s="9">
        <v>46016</v>
      </c>
      <c r="B715" s="6">
        <v>239</v>
      </c>
      <c r="C715" s="7" t="s">
        <v>79</v>
      </c>
      <c r="D715" s="7" t="s">
        <v>33</v>
      </c>
      <c r="E715" s="6">
        <v>3</v>
      </c>
      <c r="F715" s="6" t="s">
        <v>103</v>
      </c>
      <c r="G715" s="6" t="s">
        <v>104</v>
      </c>
      <c r="H715" s="6" t="s">
        <v>105</v>
      </c>
      <c r="I715" s="7"/>
      <c r="J715" t="s">
        <v>90</v>
      </c>
      <c r="K715" t="s">
        <v>135</v>
      </c>
    </row>
    <row r="716">
      <c r="A716" s="9">
        <v>46016</v>
      </c>
      <c r="B716" s="6">
        <v>231</v>
      </c>
      <c r="C716" s="7" t="s">
        <v>79</v>
      </c>
      <c r="D716" s="7" t="s">
        <v>33</v>
      </c>
      <c r="E716" s="6">
        <v>3</v>
      </c>
      <c r="F716" s="6" t="s">
        <v>103</v>
      </c>
      <c r="G716" s="6" t="s">
        <v>104</v>
      </c>
      <c r="H716" s="6" t="s">
        <v>105</v>
      </c>
      <c r="I716" s="7"/>
      <c r="J716" t="s">
        <v>90</v>
      </c>
      <c r="K716" t="s">
        <v>136</v>
      </c>
    </row>
    <row r="717">
      <c r="A717" s="9">
        <v>46016</v>
      </c>
      <c r="B717" s="6">
        <v>5</v>
      </c>
      <c r="C717" s="7" t="s">
        <v>79</v>
      </c>
      <c r="D717" s="7" t="s">
        <v>33</v>
      </c>
      <c r="E717" s="6">
        <v>3</v>
      </c>
      <c r="F717" s="6" t="s">
        <v>103</v>
      </c>
      <c r="G717" s="6" t="s">
        <v>104</v>
      </c>
      <c r="H717" s="6" t="s">
        <v>105</v>
      </c>
      <c r="I717" s="7"/>
      <c r="J717" t="s">
        <v>90</v>
      </c>
      <c r="K717" t="s">
        <v>137</v>
      </c>
    </row>
    <row r="718">
      <c r="A718" s="9">
        <v>46016</v>
      </c>
      <c r="B718" s="6">
        <v>49</v>
      </c>
      <c r="C718" s="7" t="s">
        <v>79</v>
      </c>
      <c r="D718" s="7" t="s">
        <v>33</v>
      </c>
      <c r="E718" s="6">
        <v>3</v>
      </c>
      <c r="F718" s="6" t="s">
        <v>103</v>
      </c>
      <c r="G718" s="6" t="s">
        <v>104</v>
      </c>
      <c r="H718" s="6" t="s">
        <v>105</v>
      </c>
      <c r="I718" s="7"/>
      <c r="J718" t="s">
        <v>90</v>
      </c>
      <c r="K718" t="s">
        <v>138</v>
      </c>
    </row>
    <row r="719">
      <c r="A719" s="9">
        <v>46016</v>
      </c>
      <c r="B719" s="6">
        <v>145</v>
      </c>
      <c r="C719" s="7" t="s">
        <v>79</v>
      </c>
      <c r="D719" s="7" t="s">
        <v>33</v>
      </c>
      <c r="E719" s="6">
        <v>3</v>
      </c>
      <c r="F719" s="6" t="s">
        <v>103</v>
      </c>
      <c r="G719" s="6" t="s">
        <v>104</v>
      </c>
      <c r="H719" s="6" t="s">
        <v>105</v>
      </c>
      <c r="I719" s="7"/>
      <c r="J719" t="s">
        <v>90</v>
      </c>
      <c r="K719" t="s">
        <v>139</v>
      </c>
    </row>
    <row r="720">
      <c r="A720" s="9">
        <v>46037</v>
      </c>
      <c r="B720" s="6">
        <v>47</v>
      </c>
      <c r="C720" s="7" t="s">
        <v>79</v>
      </c>
      <c r="D720" s="7" t="s">
        <v>33</v>
      </c>
      <c r="E720" s="6">
        <v>3</v>
      </c>
      <c r="F720" s="6" t="s">
        <v>103</v>
      </c>
      <c r="G720" s="6" t="s">
        <v>104</v>
      </c>
      <c r="H720" s="6" t="s">
        <v>105</v>
      </c>
      <c r="I720" s="7"/>
      <c r="J720" t="s">
        <v>90</v>
      </c>
      <c r="K720" t="s">
        <v>135</v>
      </c>
    </row>
    <row r="721">
      <c r="A721" s="9">
        <v>46037</v>
      </c>
      <c r="B721" s="6">
        <v>38</v>
      </c>
      <c r="C721" s="7" t="s">
        <v>79</v>
      </c>
      <c r="D721" s="7" t="s">
        <v>33</v>
      </c>
      <c r="E721" s="6">
        <v>3</v>
      </c>
      <c r="F721" s="6" t="s">
        <v>103</v>
      </c>
      <c r="G721" s="6" t="s">
        <v>104</v>
      </c>
      <c r="H721" s="6" t="s">
        <v>105</v>
      </c>
      <c r="I721" s="7"/>
      <c r="J721" t="s">
        <v>90</v>
      </c>
      <c r="K721" t="s">
        <v>136</v>
      </c>
    </row>
    <row r="722">
      <c r="A722" s="9">
        <v>46037</v>
      </c>
      <c r="B722" s="6">
        <v>2</v>
      </c>
      <c r="C722" s="7" t="s">
        <v>79</v>
      </c>
      <c r="D722" s="7" t="s">
        <v>33</v>
      </c>
      <c r="E722" s="6">
        <v>3</v>
      </c>
      <c r="F722" s="6" t="s">
        <v>103</v>
      </c>
      <c r="G722" s="6" t="s">
        <v>104</v>
      </c>
      <c r="H722" s="6" t="s">
        <v>105</v>
      </c>
      <c r="I722" s="7"/>
      <c r="J722" t="s">
        <v>90</v>
      </c>
      <c r="K722" t="s">
        <v>138</v>
      </c>
    </row>
    <row r="723">
      <c r="A723" s="9">
        <v>46037</v>
      </c>
      <c r="B723" s="6">
        <v>22</v>
      </c>
      <c r="C723" s="7" t="s">
        <v>79</v>
      </c>
      <c r="D723" s="7" t="s">
        <v>33</v>
      </c>
      <c r="E723" s="6">
        <v>3</v>
      </c>
      <c r="F723" s="6" t="s">
        <v>103</v>
      </c>
      <c r="G723" s="6" t="s">
        <v>104</v>
      </c>
      <c r="H723" s="6" t="s">
        <v>105</v>
      </c>
      <c r="I723" s="7"/>
      <c r="J723" t="s">
        <v>90</v>
      </c>
      <c r="K723" t="s">
        <v>139</v>
      </c>
    </row>
    <row r="724">
      <c r="A724" s="9">
        <v>46044</v>
      </c>
      <c r="B724" s="6">
        <v>273</v>
      </c>
      <c r="C724" s="7" t="s">
        <v>79</v>
      </c>
      <c r="D724" s="7" t="s">
        <v>33</v>
      </c>
      <c r="E724" s="6">
        <v>3</v>
      </c>
      <c r="F724" s="6" t="s">
        <v>103</v>
      </c>
      <c r="G724" s="6" t="s">
        <v>104</v>
      </c>
      <c r="H724" s="6" t="s">
        <v>105</v>
      </c>
      <c r="I724" s="7"/>
      <c r="J724" t="s">
        <v>90</v>
      </c>
      <c r="K724" t="s">
        <v>135</v>
      </c>
    </row>
    <row r="725">
      <c r="A725" s="9">
        <v>46044</v>
      </c>
      <c r="B725" s="6">
        <v>165</v>
      </c>
      <c r="C725" s="7" t="s">
        <v>79</v>
      </c>
      <c r="D725" s="7" t="s">
        <v>33</v>
      </c>
      <c r="E725" s="6">
        <v>3</v>
      </c>
      <c r="F725" s="6" t="s">
        <v>103</v>
      </c>
      <c r="G725" s="6" t="s">
        <v>104</v>
      </c>
      <c r="H725" s="6" t="s">
        <v>105</v>
      </c>
      <c r="I725" s="7"/>
      <c r="J725" t="s">
        <v>90</v>
      </c>
      <c r="K725" t="s">
        <v>136</v>
      </c>
    </row>
    <row r="726">
      <c r="A726" s="9">
        <v>46044</v>
      </c>
      <c r="B726" s="6">
        <v>5</v>
      </c>
      <c r="C726" s="7" t="s">
        <v>79</v>
      </c>
      <c r="D726" s="7" t="s">
        <v>33</v>
      </c>
      <c r="E726" s="6">
        <v>3</v>
      </c>
      <c r="F726" s="6" t="s">
        <v>103</v>
      </c>
      <c r="G726" s="6" t="s">
        <v>104</v>
      </c>
      <c r="H726" s="6" t="s">
        <v>105</v>
      </c>
      <c r="I726" s="7"/>
      <c r="J726" t="s">
        <v>90</v>
      </c>
      <c r="K726" t="s">
        <v>137</v>
      </c>
    </row>
    <row r="727">
      <c r="A727" s="9">
        <v>46044</v>
      </c>
      <c r="B727" s="6">
        <v>48</v>
      </c>
      <c r="C727" s="7" t="s">
        <v>79</v>
      </c>
      <c r="D727" s="7" t="s">
        <v>33</v>
      </c>
      <c r="E727" s="6">
        <v>3</v>
      </c>
      <c r="F727" s="6" t="s">
        <v>103</v>
      </c>
      <c r="G727" s="6" t="s">
        <v>104</v>
      </c>
      <c r="H727" s="6" t="s">
        <v>105</v>
      </c>
      <c r="I727" s="7"/>
      <c r="J727" t="s">
        <v>90</v>
      </c>
      <c r="K727" t="s">
        <v>138</v>
      </c>
    </row>
    <row r="728">
      <c r="A728" s="9">
        <v>46044</v>
      </c>
      <c r="B728" s="6">
        <v>149</v>
      </c>
      <c r="C728" s="7" t="s">
        <v>79</v>
      </c>
      <c r="D728" s="7" t="s">
        <v>33</v>
      </c>
      <c r="E728" s="6">
        <v>3</v>
      </c>
      <c r="F728" s="6" t="s">
        <v>103</v>
      </c>
      <c r="G728" s="6" t="s">
        <v>104</v>
      </c>
      <c r="H728" s="6" t="s">
        <v>105</v>
      </c>
      <c r="I728" s="7"/>
      <c r="J728" t="s">
        <v>90</v>
      </c>
      <c r="K728" t="s">
        <v>139</v>
      </c>
    </row>
    <row r="729">
      <c r="A729" s="9">
        <v>46051</v>
      </c>
      <c r="B729" s="6">
        <v>1</v>
      </c>
      <c r="C729" s="7" t="s">
        <v>79</v>
      </c>
      <c r="D729" s="7" t="s">
        <v>33</v>
      </c>
      <c r="E729" s="6">
        <v>3</v>
      </c>
      <c r="F729" s="6" t="s">
        <v>103</v>
      </c>
      <c r="G729" s="6" t="s">
        <v>104</v>
      </c>
      <c r="H729" s="6" t="s">
        <v>105</v>
      </c>
      <c r="I729" s="7"/>
      <c r="J729" t="s">
        <v>90</v>
      </c>
      <c r="K729" t="s">
        <v>140</v>
      </c>
    </row>
    <row r="730">
      <c r="A730" s="9">
        <v>46051</v>
      </c>
      <c r="B730" s="6">
        <v>223</v>
      </c>
      <c r="C730" s="7" t="s">
        <v>79</v>
      </c>
      <c r="D730" s="7" t="s">
        <v>33</v>
      </c>
      <c r="E730" s="6">
        <v>3</v>
      </c>
      <c r="F730" s="6" t="s">
        <v>103</v>
      </c>
      <c r="G730" s="6" t="s">
        <v>104</v>
      </c>
      <c r="H730" s="6" t="s">
        <v>105</v>
      </c>
      <c r="I730" s="7"/>
      <c r="J730" t="s">
        <v>90</v>
      </c>
      <c r="K730" t="s">
        <v>135</v>
      </c>
    </row>
    <row r="731">
      <c r="A731" s="9">
        <v>46051</v>
      </c>
      <c r="B731" s="6">
        <v>144</v>
      </c>
      <c r="C731" s="7" t="s">
        <v>79</v>
      </c>
      <c r="D731" s="7" t="s">
        <v>33</v>
      </c>
      <c r="E731" s="6">
        <v>3</v>
      </c>
      <c r="F731" s="6" t="s">
        <v>103</v>
      </c>
      <c r="G731" s="6" t="s">
        <v>104</v>
      </c>
      <c r="H731" s="6" t="s">
        <v>105</v>
      </c>
      <c r="I731" s="7"/>
      <c r="J731" t="s">
        <v>90</v>
      </c>
      <c r="K731" t="s">
        <v>136</v>
      </c>
    </row>
    <row r="732">
      <c r="A732" s="9">
        <v>46051</v>
      </c>
      <c r="B732" s="6">
        <v>8</v>
      </c>
      <c r="C732" s="7" t="s">
        <v>79</v>
      </c>
      <c r="D732" s="7" t="s">
        <v>33</v>
      </c>
      <c r="E732" s="6">
        <v>3</v>
      </c>
      <c r="F732" s="6" t="s">
        <v>103</v>
      </c>
      <c r="G732" s="6" t="s">
        <v>104</v>
      </c>
      <c r="H732" s="6" t="s">
        <v>105</v>
      </c>
      <c r="I732" s="7"/>
      <c r="J732" t="s">
        <v>90</v>
      </c>
      <c r="K732" t="s">
        <v>137</v>
      </c>
    </row>
    <row r="733">
      <c r="A733" s="9">
        <v>46051</v>
      </c>
      <c r="B733" s="6">
        <v>38</v>
      </c>
      <c r="C733" s="7" t="s">
        <v>79</v>
      </c>
      <c r="D733" s="7" t="s">
        <v>33</v>
      </c>
      <c r="E733" s="6">
        <v>3</v>
      </c>
      <c r="F733" s="6" t="s">
        <v>103</v>
      </c>
      <c r="G733" s="6" t="s">
        <v>104</v>
      </c>
      <c r="H733" s="6" t="s">
        <v>105</v>
      </c>
      <c r="I733" s="7"/>
      <c r="J733" t="s">
        <v>90</v>
      </c>
      <c r="K733" t="s">
        <v>138</v>
      </c>
    </row>
    <row r="734">
      <c r="A734" s="9">
        <v>46051</v>
      </c>
      <c r="B734" s="6">
        <v>126</v>
      </c>
      <c r="C734" s="7" t="s">
        <v>79</v>
      </c>
      <c r="D734" s="7" t="s">
        <v>33</v>
      </c>
      <c r="E734" s="6">
        <v>3</v>
      </c>
      <c r="F734" s="6" t="s">
        <v>103</v>
      </c>
      <c r="G734" s="6" t="s">
        <v>104</v>
      </c>
      <c r="H734" s="6" t="s">
        <v>105</v>
      </c>
      <c r="I734" s="7"/>
      <c r="J734" t="s">
        <v>90</v>
      </c>
      <c r="K734" t="s">
        <v>139</v>
      </c>
    </row>
    <row r="735">
      <c r="A735" s="9">
        <v>46058</v>
      </c>
      <c r="B735" s="6">
        <v>242</v>
      </c>
      <c r="C735" s="7" t="s">
        <v>79</v>
      </c>
      <c r="D735" s="7" t="s">
        <v>33</v>
      </c>
      <c r="E735" s="6">
        <v>3</v>
      </c>
      <c r="F735" s="6" t="s">
        <v>103</v>
      </c>
      <c r="G735" s="6" t="s">
        <v>104</v>
      </c>
      <c r="H735" s="6" t="s">
        <v>105</v>
      </c>
      <c r="I735" s="7"/>
      <c r="J735" t="s">
        <v>90</v>
      </c>
      <c r="K735" t="s">
        <v>135</v>
      </c>
    </row>
    <row r="736">
      <c r="A736" s="9">
        <v>46058</v>
      </c>
      <c r="B736" s="6">
        <v>147</v>
      </c>
      <c r="C736" s="7" t="s">
        <v>79</v>
      </c>
      <c r="D736" s="7" t="s">
        <v>33</v>
      </c>
      <c r="E736" s="6">
        <v>3</v>
      </c>
      <c r="F736" s="6" t="s">
        <v>103</v>
      </c>
      <c r="G736" s="6" t="s">
        <v>104</v>
      </c>
      <c r="H736" s="6" t="s">
        <v>105</v>
      </c>
      <c r="I736" s="7"/>
      <c r="J736" t="s">
        <v>90</v>
      </c>
      <c r="K736" t="s">
        <v>136</v>
      </c>
    </row>
    <row r="737">
      <c r="A737" s="9">
        <v>46058</v>
      </c>
      <c r="B737" s="6">
        <v>3</v>
      </c>
      <c r="C737" s="7" t="s">
        <v>79</v>
      </c>
      <c r="D737" s="7" t="s">
        <v>33</v>
      </c>
      <c r="E737" s="6">
        <v>3</v>
      </c>
      <c r="F737" s="6" t="s">
        <v>103</v>
      </c>
      <c r="G737" s="6" t="s">
        <v>104</v>
      </c>
      <c r="H737" s="6" t="s">
        <v>105</v>
      </c>
      <c r="I737" s="7"/>
      <c r="J737" t="s">
        <v>90</v>
      </c>
      <c r="K737" t="s">
        <v>137</v>
      </c>
    </row>
    <row r="738">
      <c r="A738" s="9">
        <v>46058</v>
      </c>
      <c r="B738" s="6">
        <v>29</v>
      </c>
      <c r="C738" s="7" t="s">
        <v>79</v>
      </c>
      <c r="D738" s="7" t="s">
        <v>33</v>
      </c>
      <c r="E738" s="6">
        <v>3</v>
      </c>
      <c r="F738" s="6" t="s">
        <v>103</v>
      </c>
      <c r="G738" s="6" t="s">
        <v>104</v>
      </c>
      <c r="H738" s="6" t="s">
        <v>105</v>
      </c>
      <c r="I738" s="7"/>
      <c r="J738" t="s">
        <v>90</v>
      </c>
      <c r="K738" t="s">
        <v>138</v>
      </c>
    </row>
    <row r="739">
      <c r="A739" s="9">
        <v>46058</v>
      </c>
      <c r="B739" s="6">
        <v>95</v>
      </c>
      <c r="C739" s="7" t="s">
        <v>79</v>
      </c>
      <c r="D739" s="7" t="s">
        <v>33</v>
      </c>
      <c r="E739" s="6">
        <v>3</v>
      </c>
      <c r="F739" s="6" t="s">
        <v>103</v>
      </c>
      <c r="G739" s="6" t="s">
        <v>104</v>
      </c>
      <c r="H739" s="6" t="s">
        <v>105</v>
      </c>
      <c r="I739" s="7"/>
      <c r="J739" t="s">
        <v>90</v>
      </c>
      <c r="K739" t="s">
        <v>139</v>
      </c>
    </row>
    <row r="740">
      <c r="A740" s="9">
        <v>46065</v>
      </c>
      <c r="B740" s="6">
        <v>157</v>
      </c>
      <c r="C740" s="7" t="s">
        <v>79</v>
      </c>
      <c r="D740" s="7" t="s">
        <v>33</v>
      </c>
      <c r="E740" s="6">
        <v>3</v>
      </c>
      <c r="F740" s="6" t="s">
        <v>103</v>
      </c>
      <c r="G740" s="6" t="s">
        <v>104</v>
      </c>
      <c r="H740" s="6" t="s">
        <v>105</v>
      </c>
      <c r="I740" s="7"/>
      <c r="J740" t="s">
        <v>90</v>
      </c>
      <c r="K740" t="s">
        <v>135</v>
      </c>
    </row>
    <row r="741">
      <c r="A741" s="9">
        <v>46065</v>
      </c>
      <c r="B741" s="6">
        <v>117</v>
      </c>
      <c r="C741" s="7" t="s">
        <v>79</v>
      </c>
      <c r="D741" s="7" t="s">
        <v>33</v>
      </c>
      <c r="E741" s="6">
        <v>3</v>
      </c>
      <c r="F741" s="6" t="s">
        <v>103</v>
      </c>
      <c r="G741" s="6" t="s">
        <v>104</v>
      </c>
      <c r="H741" s="6" t="s">
        <v>105</v>
      </c>
      <c r="I741" s="7"/>
      <c r="J741" t="s">
        <v>90</v>
      </c>
      <c r="K741" t="s">
        <v>136</v>
      </c>
    </row>
    <row r="742">
      <c r="A742" s="9">
        <v>46065</v>
      </c>
      <c r="B742" s="6">
        <v>2</v>
      </c>
      <c r="C742" s="7" t="s">
        <v>79</v>
      </c>
      <c r="D742" s="7" t="s">
        <v>33</v>
      </c>
      <c r="E742" s="6">
        <v>3</v>
      </c>
      <c r="F742" s="6" t="s">
        <v>103</v>
      </c>
      <c r="G742" s="6" t="s">
        <v>104</v>
      </c>
      <c r="H742" s="6" t="s">
        <v>105</v>
      </c>
      <c r="I742" s="7"/>
      <c r="J742" t="s">
        <v>90</v>
      </c>
      <c r="K742" t="s">
        <v>137</v>
      </c>
    </row>
    <row r="743">
      <c r="A743" s="9">
        <v>46065</v>
      </c>
      <c r="B743" s="6">
        <v>24</v>
      </c>
      <c r="C743" s="7" t="s">
        <v>79</v>
      </c>
      <c r="D743" s="7" t="s">
        <v>33</v>
      </c>
      <c r="E743" s="6">
        <v>3</v>
      </c>
      <c r="F743" s="6" t="s">
        <v>103</v>
      </c>
      <c r="G743" s="6" t="s">
        <v>104</v>
      </c>
      <c r="H743" s="6" t="s">
        <v>105</v>
      </c>
      <c r="I743" s="7"/>
      <c r="J743" t="s">
        <v>90</v>
      </c>
      <c r="K743" t="s">
        <v>138</v>
      </c>
    </row>
    <row r="744">
      <c r="A744" s="9">
        <v>46065</v>
      </c>
      <c r="B744" s="6">
        <v>55</v>
      </c>
      <c r="C744" s="7" t="s">
        <v>79</v>
      </c>
      <c r="D744" s="7" t="s">
        <v>33</v>
      </c>
      <c r="E744" s="6">
        <v>3</v>
      </c>
      <c r="F744" s="6" t="s">
        <v>103</v>
      </c>
      <c r="G744" s="6" t="s">
        <v>104</v>
      </c>
      <c r="H744" s="6" t="s">
        <v>105</v>
      </c>
      <c r="I744" s="7"/>
      <c r="J744" t="s">
        <v>90</v>
      </c>
      <c r="K744" t="s">
        <v>139</v>
      </c>
    </row>
    <row r="745">
      <c r="A745" s="9">
        <v>46072</v>
      </c>
      <c r="B745" s="6">
        <v>162</v>
      </c>
      <c r="C745" s="7" t="s">
        <v>79</v>
      </c>
      <c r="D745" s="7" t="s">
        <v>33</v>
      </c>
      <c r="E745" s="6">
        <v>3</v>
      </c>
      <c r="F745" s="6" t="s">
        <v>103</v>
      </c>
      <c r="G745" s="6" t="s">
        <v>104</v>
      </c>
      <c r="H745" s="6" t="s">
        <v>105</v>
      </c>
      <c r="I745" s="7"/>
      <c r="J745" t="s">
        <v>90</v>
      </c>
      <c r="K745" t="s">
        <v>135</v>
      </c>
    </row>
    <row r="746">
      <c r="A746" s="9">
        <v>46072</v>
      </c>
      <c r="B746" s="6">
        <v>164</v>
      </c>
      <c r="C746" s="7" t="s">
        <v>79</v>
      </c>
      <c r="D746" s="7" t="s">
        <v>33</v>
      </c>
      <c r="E746" s="6">
        <v>3</v>
      </c>
      <c r="F746" s="6" t="s">
        <v>103</v>
      </c>
      <c r="G746" s="6" t="s">
        <v>104</v>
      </c>
      <c r="H746" s="6" t="s">
        <v>105</v>
      </c>
      <c r="I746" s="7"/>
      <c r="J746" t="s">
        <v>90</v>
      </c>
      <c r="K746" t="s">
        <v>136</v>
      </c>
    </row>
    <row r="747">
      <c r="A747" s="9">
        <v>46072</v>
      </c>
      <c r="B747" s="6">
        <v>4</v>
      </c>
      <c r="C747" s="7" t="s">
        <v>79</v>
      </c>
      <c r="D747" s="7" t="s">
        <v>33</v>
      </c>
      <c r="E747" s="6">
        <v>3</v>
      </c>
      <c r="F747" s="6" t="s">
        <v>103</v>
      </c>
      <c r="G747" s="6" t="s">
        <v>104</v>
      </c>
      <c r="H747" s="6" t="s">
        <v>105</v>
      </c>
      <c r="I747" s="7"/>
      <c r="J747" t="s">
        <v>90</v>
      </c>
      <c r="K747" t="s">
        <v>137</v>
      </c>
    </row>
    <row r="748">
      <c r="A748" s="9">
        <v>46072</v>
      </c>
      <c r="B748" s="6">
        <v>49</v>
      </c>
      <c r="C748" s="7" t="s">
        <v>79</v>
      </c>
      <c r="D748" s="7" t="s">
        <v>33</v>
      </c>
      <c r="E748" s="6">
        <v>3</v>
      </c>
      <c r="F748" s="6" t="s">
        <v>103</v>
      </c>
      <c r="G748" s="6" t="s">
        <v>104</v>
      </c>
      <c r="H748" s="6" t="s">
        <v>105</v>
      </c>
      <c r="I748" s="7"/>
      <c r="J748" t="s">
        <v>90</v>
      </c>
      <c r="K748" t="s">
        <v>138</v>
      </c>
    </row>
    <row r="749">
      <c r="A749" s="9">
        <v>46072</v>
      </c>
      <c r="B749" s="6">
        <v>67</v>
      </c>
      <c r="C749" s="7" t="s">
        <v>79</v>
      </c>
      <c r="D749" s="7" t="s">
        <v>33</v>
      </c>
      <c r="E749" s="6">
        <v>3</v>
      </c>
      <c r="F749" s="6" t="s">
        <v>103</v>
      </c>
      <c r="G749" s="6" t="s">
        <v>104</v>
      </c>
      <c r="H749" s="6" t="s">
        <v>105</v>
      </c>
      <c r="I749" s="7"/>
      <c r="J749" t="s">
        <v>90</v>
      </c>
      <c r="K749" t="s">
        <v>139</v>
      </c>
    </row>
    <row r="750">
      <c r="A750" s="9">
        <v>46079</v>
      </c>
      <c r="B750" s="6">
        <v>127</v>
      </c>
      <c r="C750" s="7" t="s">
        <v>79</v>
      </c>
      <c r="D750" s="7" t="s">
        <v>33</v>
      </c>
      <c r="E750" s="6">
        <v>3</v>
      </c>
      <c r="F750" s="6" t="s">
        <v>103</v>
      </c>
      <c r="G750" s="6" t="s">
        <v>104</v>
      </c>
      <c r="H750" s="6" t="s">
        <v>105</v>
      </c>
      <c r="I750" s="7"/>
      <c r="J750" t="s">
        <v>90</v>
      </c>
      <c r="K750" t="s">
        <v>135</v>
      </c>
    </row>
    <row r="751">
      <c r="A751" s="9">
        <v>46079</v>
      </c>
      <c r="B751" s="6">
        <v>109</v>
      </c>
      <c r="C751" s="7" t="s">
        <v>79</v>
      </c>
      <c r="D751" s="7" t="s">
        <v>33</v>
      </c>
      <c r="E751" s="6">
        <v>3</v>
      </c>
      <c r="F751" s="6" t="s">
        <v>103</v>
      </c>
      <c r="G751" s="6" t="s">
        <v>104</v>
      </c>
      <c r="H751" s="6" t="s">
        <v>105</v>
      </c>
      <c r="I751" s="7"/>
      <c r="J751" t="s">
        <v>90</v>
      </c>
      <c r="K751" t="s">
        <v>136</v>
      </c>
    </row>
    <row r="752">
      <c r="A752" s="9">
        <v>46079</v>
      </c>
      <c r="B752" s="6">
        <v>4</v>
      </c>
      <c r="C752" s="7" t="s">
        <v>79</v>
      </c>
      <c r="D752" s="7" t="s">
        <v>33</v>
      </c>
      <c r="E752" s="6">
        <v>3</v>
      </c>
      <c r="F752" s="6" t="s">
        <v>103</v>
      </c>
      <c r="G752" s="6" t="s">
        <v>104</v>
      </c>
      <c r="H752" s="6" t="s">
        <v>105</v>
      </c>
      <c r="I752" s="7"/>
      <c r="J752" t="s">
        <v>90</v>
      </c>
      <c r="K752" t="s">
        <v>137</v>
      </c>
    </row>
    <row r="753">
      <c r="A753" s="9">
        <v>46079</v>
      </c>
      <c r="B753" s="6">
        <v>23</v>
      </c>
      <c r="C753" s="7" t="s">
        <v>79</v>
      </c>
      <c r="D753" s="7" t="s">
        <v>33</v>
      </c>
      <c r="E753" s="6">
        <v>3</v>
      </c>
      <c r="F753" s="6" t="s">
        <v>103</v>
      </c>
      <c r="G753" s="6" t="s">
        <v>104</v>
      </c>
      <c r="H753" s="6" t="s">
        <v>105</v>
      </c>
      <c r="I753" s="7"/>
      <c r="J753" t="s">
        <v>90</v>
      </c>
      <c r="K753" t="s">
        <v>138</v>
      </c>
    </row>
    <row r="754">
      <c r="A754" s="9">
        <v>46079</v>
      </c>
      <c r="B754" s="6">
        <v>59</v>
      </c>
      <c r="C754" s="7" t="s">
        <v>79</v>
      </c>
      <c r="D754" s="7" t="s">
        <v>33</v>
      </c>
      <c r="E754" s="6">
        <v>3</v>
      </c>
      <c r="F754" s="6" t="s">
        <v>103</v>
      </c>
      <c r="G754" s="6" t="s">
        <v>104</v>
      </c>
      <c r="H754" s="6" t="s">
        <v>105</v>
      </c>
      <c r="I754" s="7"/>
      <c r="J754" t="s">
        <v>90</v>
      </c>
      <c r="K754" t="s">
        <v>139</v>
      </c>
    </row>
    <row r="755">
      <c r="A755" s="9">
        <v>46086</v>
      </c>
      <c r="B755" s="6">
        <v>76</v>
      </c>
      <c r="C755" s="7" t="s">
        <v>79</v>
      </c>
      <c r="D755" s="7" t="s">
        <v>33</v>
      </c>
      <c r="E755" s="6">
        <v>3</v>
      </c>
      <c r="F755" s="6" t="s">
        <v>103</v>
      </c>
      <c r="G755" s="6" t="s">
        <v>104</v>
      </c>
      <c r="H755" s="6" t="s">
        <v>105</v>
      </c>
      <c r="I755" s="7"/>
      <c r="J755" t="s">
        <v>90</v>
      </c>
      <c r="K755" t="s">
        <v>135</v>
      </c>
    </row>
    <row r="756">
      <c r="A756" s="9">
        <v>46086</v>
      </c>
      <c r="B756" s="6">
        <v>80</v>
      </c>
      <c r="C756" s="7" t="s">
        <v>79</v>
      </c>
      <c r="D756" s="7" t="s">
        <v>33</v>
      </c>
      <c r="E756" s="6">
        <v>3</v>
      </c>
      <c r="F756" s="6" t="s">
        <v>103</v>
      </c>
      <c r="G756" s="6" t="s">
        <v>104</v>
      </c>
      <c r="H756" s="6" t="s">
        <v>105</v>
      </c>
      <c r="I756" s="7"/>
      <c r="J756" t="s">
        <v>90</v>
      </c>
      <c r="K756" t="s">
        <v>136</v>
      </c>
    </row>
    <row r="757">
      <c r="A757" s="9">
        <v>46086</v>
      </c>
      <c r="B757" s="6">
        <v>2</v>
      </c>
      <c r="C757" s="7" t="s">
        <v>79</v>
      </c>
      <c r="D757" s="7" t="s">
        <v>33</v>
      </c>
      <c r="E757" s="6">
        <v>3</v>
      </c>
      <c r="F757" s="6" t="s">
        <v>103</v>
      </c>
      <c r="G757" s="6" t="s">
        <v>104</v>
      </c>
      <c r="H757" s="6" t="s">
        <v>105</v>
      </c>
      <c r="I757" s="7"/>
      <c r="J757" t="s">
        <v>90</v>
      </c>
      <c r="K757" t="s">
        <v>137</v>
      </c>
    </row>
    <row r="758">
      <c r="A758" s="9">
        <v>46086</v>
      </c>
      <c r="B758" s="6">
        <v>19</v>
      </c>
      <c r="C758" s="7" t="s">
        <v>79</v>
      </c>
      <c r="D758" s="7" t="s">
        <v>33</v>
      </c>
      <c r="E758" s="6">
        <v>3</v>
      </c>
      <c r="F758" s="6" t="s">
        <v>103</v>
      </c>
      <c r="G758" s="6" t="s">
        <v>104</v>
      </c>
      <c r="H758" s="6" t="s">
        <v>105</v>
      </c>
      <c r="I758" s="7"/>
      <c r="J758" t="s">
        <v>90</v>
      </c>
      <c r="K758" t="s">
        <v>138</v>
      </c>
    </row>
    <row r="759">
      <c r="A759" s="9">
        <v>46086</v>
      </c>
      <c r="B759" s="6">
        <v>56</v>
      </c>
      <c r="C759" s="7" t="s">
        <v>79</v>
      </c>
      <c r="D759" s="7" t="s">
        <v>33</v>
      </c>
      <c r="E759" s="6">
        <v>3</v>
      </c>
      <c r="F759" s="6" t="s">
        <v>103</v>
      </c>
      <c r="G759" s="6" t="s">
        <v>104</v>
      </c>
      <c r="H759" s="6" t="s">
        <v>105</v>
      </c>
      <c r="I759" s="7"/>
      <c r="J759" t="s">
        <v>90</v>
      </c>
      <c r="K759" t="s">
        <v>139</v>
      </c>
    </row>
    <row r="760">
      <c r="A760" s="9">
        <v>46093</v>
      </c>
      <c r="B760" s="6">
        <v>89</v>
      </c>
      <c r="C760" s="7" t="s">
        <v>79</v>
      </c>
      <c r="D760" s="7" t="s">
        <v>33</v>
      </c>
      <c r="E760" s="6">
        <v>3</v>
      </c>
      <c r="F760" s="6" t="s">
        <v>103</v>
      </c>
      <c r="G760" s="6" t="s">
        <v>104</v>
      </c>
      <c r="H760" s="6" t="s">
        <v>105</v>
      </c>
      <c r="I760" s="7"/>
      <c r="J760" t="s">
        <v>90</v>
      </c>
      <c r="K760" t="s">
        <v>135</v>
      </c>
    </row>
    <row r="761">
      <c r="A761" s="9">
        <v>46093</v>
      </c>
      <c r="B761" s="6">
        <v>82</v>
      </c>
      <c r="C761" s="7" t="s">
        <v>79</v>
      </c>
      <c r="D761" s="7" t="s">
        <v>33</v>
      </c>
      <c r="E761" s="6">
        <v>3</v>
      </c>
      <c r="F761" s="6" t="s">
        <v>103</v>
      </c>
      <c r="G761" s="6" t="s">
        <v>104</v>
      </c>
      <c r="H761" s="6" t="s">
        <v>105</v>
      </c>
      <c r="I761" s="7"/>
      <c r="J761" t="s">
        <v>90</v>
      </c>
      <c r="K761" t="s">
        <v>136</v>
      </c>
    </row>
    <row r="762">
      <c r="A762" s="9">
        <v>46093</v>
      </c>
      <c r="B762" s="6">
        <v>1</v>
      </c>
      <c r="C762" s="7" t="s">
        <v>79</v>
      </c>
      <c r="D762" s="7" t="s">
        <v>33</v>
      </c>
      <c r="E762" s="6">
        <v>3</v>
      </c>
      <c r="F762" s="6" t="s">
        <v>103</v>
      </c>
      <c r="G762" s="6" t="s">
        <v>104</v>
      </c>
      <c r="H762" s="6" t="s">
        <v>105</v>
      </c>
      <c r="I762" s="7"/>
      <c r="J762" t="s">
        <v>90</v>
      </c>
      <c r="K762" t="s">
        <v>137</v>
      </c>
    </row>
    <row r="763">
      <c r="A763" s="9">
        <v>46093</v>
      </c>
      <c r="B763" s="6">
        <v>19</v>
      </c>
      <c r="C763" s="7" t="s">
        <v>79</v>
      </c>
      <c r="D763" s="7" t="s">
        <v>33</v>
      </c>
      <c r="E763" s="6">
        <v>3</v>
      </c>
      <c r="F763" s="6" t="s">
        <v>103</v>
      </c>
      <c r="G763" s="6" t="s">
        <v>104</v>
      </c>
      <c r="H763" s="6" t="s">
        <v>105</v>
      </c>
      <c r="I763" s="7"/>
      <c r="J763" t="s">
        <v>90</v>
      </c>
      <c r="K763" t="s">
        <v>138</v>
      </c>
    </row>
    <row r="764">
      <c r="A764" s="9">
        <v>46093</v>
      </c>
      <c r="B764" s="6">
        <v>42</v>
      </c>
      <c r="C764" s="7" t="s">
        <v>79</v>
      </c>
      <c r="D764" s="7" t="s">
        <v>33</v>
      </c>
      <c r="E764" s="6">
        <v>3</v>
      </c>
      <c r="F764" s="6" t="s">
        <v>103</v>
      </c>
      <c r="G764" s="6" t="s">
        <v>104</v>
      </c>
      <c r="H764" s="6" t="s">
        <v>105</v>
      </c>
      <c r="I764" s="7"/>
      <c r="J764" t="s">
        <v>90</v>
      </c>
      <c r="K764" t="s">
        <v>139</v>
      </c>
    </row>
    <row r="765">
      <c r="A765" s="9">
        <v>46100</v>
      </c>
      <c r="B765" s="6">
        <v>95</v>
      </c>
      <c r="C765" s="7" t="s">
        <v>79</v>
      </c>
      <c r="D765" s="7" t="s">
        <v>33</v>
      </c>
      <c r="E765" s="6">
        <v>3</v>
      </c>
      <c r="F765" s="6" t="s">
        <v>103</v>
      </c>
      <c r="G765" s="6" t="s">
        <v>104</v>
      </c>
      <c r="H765" s="6" t="s">
        <v>105</v>
      </c>
      <c r="I765" s="7"/>
      <c r="J765" t="s">
        <v>90</v>
      </c>
      <c r="K765" t="s">
        <v>135</v>
      </c>
    </row>
    <row r="766">
      <c r="A766" s="9">
        <v>46100</v>
      </c>
      <c r="B766" s="6">
        <v>133</v>
      </c>
      <c r="C766" s="7" t="s">
        <v>79</v>
      </c>
      <c r="D766" s="7" t="s">
        <v>33</v>
      </c>
      <c r="E766" s="6">
        <v>3</v>
      </c>
      <c r="F766" s="6" t="s">
        <v>103</v>
      </c>
      <c r="G766" s="6" t="s">
        <v>104</v>
      </c>
      <c r="H766" s="6" t="s">
        <v>105</v>
      </c>
      <c r="I766" s="7"/>
      <c r="J766" t="s">
        <v>90</v>
      </c>
      <c r="K766" t="s">
        <v>136</v>
      </c>
    </row>
    <row r="767">
      <c r="A767" s="9">
        <v>46100</v>
      </c>
      <c r="B767" s="6">
        <v>3</v>
      </c>
      <c r="C767" s="7" t="s">
        <v>79</v>
      </c>
      <c r="D767" s="7" t="s">
        <v>33</v>
      </c>
      <c r="E767" s="6">
        <v>3</v>
      </c>
      <c r="F767" s="6" t="s">
        <v>103</v>
      </c>
      <c r="G767" s="6" t="s">
        <v>104</v>
      </c>
      <c r="H767" s="6" t="s">
        <v>105</v>
      </c>
      <c r="I767" s="7"/>
      <c r="J767" t="s">
        <v>90</v>
      </c>
      <c r="K767" t="s">
        <v>137</v>
      </c>
    </row>
    <row r="768">
      <c r="A768" s="9">
        <v>46100</v>
      </c>
      <c r="B768" s="6">
        <v>30</v>
      </c>
      <c r="C768" s="7" t="s">
        <v>79</v>
      </c>
      <c r="D768" s="7" t="s">
        <v>33</v>
      </c>
      <c r="E768" s="6">
        <v>3</v>
      </c>
      <c r="F768" s="6" t="s">
        <v>103</v>
      </c>
      <c r="G768" s="6" t="s">
        <v>104</v>
      </c>
      <c r="H768" s="6" t="s">
        <v>105</v>
      </c>
      <c r="I768" s="7"/>
      <c r="J768" t="s">
        <v>90</v>
      </c>
      <c r="K768" t="s">
        <v>138</v>
      </c>
    </row>
    <row r="769">
      <c r="A769" s="9">
        <v>46100</v>
      </c>
      <c r="B769" s="6">
        <v>39</v>
      </c>
      <c r="C769" s="7" t="s">
        <v>79</v>
      </c>
      <c r="D769" s="7" t="s">
        <v>33</v>
      </c>
      <c r="E769" s="6">
        <v>3</v>
      </c>
      <c r="F769" s="6" t="s">
        <v>103</v>
      </c>
      <c r="G769" s="6" t="s">
        <v>104</v>
      </c>
      <c r="H769" s="6" t="s">
        <v>105</v>
      </c>
      <c r="I769" s="7"/>
      <c r="J769" t="s">
        <v>90</v>
      </c>
      <c r="K769" t="s">
        <v>139</v>
      </c>
    </row>
    <row r="770">
      <c r="A770" s="9">
        <v>46107</v>
      </c>
      <c r="B770" s="6">
        <v>115</v>
      </c>
      <c r="C770" s="7" t="s">
        <v>79</v>
      </c>
      <c r="D770" s="7" t="s">
        <v>33</v>
      </c>
      <c r="E770" s="6">
        <v>3</v>
      </c>
      <c r="F770" s="6" t="s">
        <v>103</v>
      </c>
      <c r="G770" s="6" t="s">
        <v>104</v>
      </c>
      <c r="H770" s="6" t="s">
        <v>105</v>
      </c>
      <c r="I770" s="7"/>
      <c r="J770" t="s">
        <v>90</v>
      </c>
      <c r="K770" t="s">
        <v>135</v>
      </c>
    </row>
    <row r="771">
      <c r="A771" s="9">
        <v>46107</v>
      </c>
      <c r="B771" s="6">
        <v>124</v>
      </c>
      <c r="C771" s="7" t="s">
        <v>79</v>
      </c>
      <c r="D771" s="7" t="s">
        <v>33</v>
      </c>
      <c r="E771" s="6">
        <v>3</v>
      </c>
      <c r="F771" s="6" t="s">
        <v>103</v>
      </c>
      <c r="G771" s="6" t="s">
        <v>104</v>
      </c>
      <c r="H771" s="6" t="s">
        <v>105</v>
      </c>
      <c r="I771" s="7"/>
      <c r="J771" t="s">
        <v>90</v>
      </c>
      <c r="K771" t="s">
        <v>136</v>
      </c>
    </row>
    <row r="772">
      <c r="A772" s="9">
        <v>46107</v>
      </c>
      <c r="B772" s="6">
        <v>4</v>
      </c>
      <c r="C772" s="7" t="s">
        <v>79</v>
      </c>
      <c r="D772" s="7" t="s">
        <v>33</v>
      </c>
      <c r="E772" s="6">
        <v>3</v>
      </c>
      <c r="F772" s="6" t="s">
        <v>103</v>
      </c>
      <c r="G772" s="6" t="s">
        <v>104</v>
      </c>
      <c r="H772" s="6" t="s">
        <v>105</v>
      </c>
      <c r="I772" s="7"/>
      <c r="J772" t="s">
        <v>90</v>
      </c>
      <c r="K772" t="s">
        <v>137</v>
      </c>
    </row>
    <row r="773">
      <c r="A773" s="9">
        <v>46107</v>
      </c>
      <c r="B773" s="6">
        <v>24</v>
      </c>
      <c r="C773" s="7" t="s">
        <v>79</v>
      </c>
      <c r="D773" s="7" t="s">
        <v>33</v>
      </c>
      <c r="E773" s="6">
        <v>3</v>
      </c>
      <c r="F773" s="6" t="s">
        <v>103</v>
      </c>
      <c r="G773" s="6" t="s">
        <v>104</v>
      </c>
      <c r="H773" s="6" t="s">
        <v>105</v>
      </c>
      <c r="I773" s="7"/>
      <c r="J773" t="s">
        <v>90</v>
      </c>
      <c r="K773" t="s">
        <v>138</v>
      </c>
    </row>
    <row r="774">
      <c r="A774" s="9">
        <v>46107</v>
      </c>
      <c r="B774" s="6">
        <v>41</v>
      </c>
      <c r="C774" s="7" t="s">
        <v>79</v>
      </c>
      <c r="D774" s="7" t="s">
        <v>33</v>
      </c>
      <c r="E774" s="6">
        <v>3</v>
      </c>
      <c r="F774" s="6" t="s">
        <v>103</v>
      </c>
      <c r="G774" s="6" t="s">
        <v>104</v>
      </c>
      <c r="H774" s="6" t="s">
        <v>105</v>
      </c>
      <c r="I774" s="7"/>
      <c r="J774" t="s">
        <v>90</v>
      </c>
      <c r="K774" t="s">
        <v>139</v>
      </c>
    </row>
    <row r="775">
      <c r="A775" s="9">
        <v>46114</v>
      </c>
      <c r="B775" s="6">
        <v>121</v>
      </c>
      <c r="C775" s="7" t="s">
        <v>79</v>
      </c>
      <c r="D775" s="7" t="s">
        <v>33</v>
      </c>
      <c r="E775" s="6">
        <v>3</v>
      </c>
      <c r="F775" s="6" t="s">
        <v>103</v>
      </c>
      <c r="G775" s="6" t="s">
        <v>104</v>
      </c>
      <c r="H775" s="6" t="s">
        <v>105</v>
      </c>
      <c r="I775" s="7"/>
      <c r="J775" t="s">
        <v>90</v>
      </c>
      <c r="K775" t="s">
        <v>135</v>
      </c>
    </row>
    <row r="776">
      <c r="A776" s="9">
        <v>46114</v>
      </c>
      <c r="B776" s="6">
        <v>154</v>
      </c>
      <c r="C776" s="7" t="s">
        <v>79</v>
      </c>
      <c r="D776" s="7" t="s">
        <v>33</v>
      </c>
      <c r="E776" s="6">
        <v>3</v>
      </c>
      <c r="F776" s="6" t="s">
        <v>103</v>
      </c>
      <c r="G776" s="6" t="s">
        <v>104</v>
      </c>
      <c r="H776" s="6" t="s">
        <v>105</v>
      </c>
      <c r="I776" s="7"/>
      <c r="J776" t="s">
        <v>90</v>
      </c>
      <c r="K776" t="s">
        <v>136</v>
      </c>
    </row>
    <row r="777">
      <c r="A777" s="9">
        <v>46114</v>
      </c>
      <c r="B777" s="6">
        <v>3</v>
      </c>
      <c r="C777" s="7" t="s">
        <v>79</v>
      </c>
      <c r="D777" s="7" t="s">
        <v>33</v>
      </c>
      <c r="E777" s="6">
        <v>3</v>
      </c>
      <c r="F777" s="6" t="s">
        <v>103</v>
      </c>
      <c r="G777" s="6" t="s">
        <v>104</v>
      </c>
      <c r="H777" s="6" t="s">
        <v>105</v>
      </c>
      <c r="I777" s="7"/>
      <c r="J777" t="s">
        <v>90</v>
      </c>
      <c r="K777" t="s">
        <v>137</v>
      </c>
    </row>
    <row r="778">
      <c r="A778" s="9">
        <v>46114</v>
      </c>
      <c r="B778" s="6">
        <v>29</v>
      </c>
      <c r="C778" s="7" t="s">
        <v>79</v>
      </c>
      <c r="D778" s="7" t="s">
        <v>33</v>
      </c>
      <c r="E778" s="6">
        <v>3</v>
      </c>
      <c r="F778" s="6" t="s">
        <v>103</v>
      </c>
      <c r="G778" s="6" t="s">
        <v>104</v>
      </c>
      <c r="H778" s="6" t="s">
        <v>105</v>
      </c>
      <c r="I778" s="7"/>
      <c r="J778" t="s">
        <v>90</v>
      </c>
      <c r="K778" t="s">
        <v>138</v>
      </c>
    </row>
    <row r="779">
      <c r="A779" s="9">
        <v>46114</v>
      </c>
      <c r="B779" s="6">
        <v>56</v>
      </c>
      <c r="C779" s="7" t="s">
        <v>79</v>
      </c>
      <c r="D779" s="7" t="s">
        <v>33</v>
      </c>
      <c r="E779" s="6">
        <v>3</v>
      </c>
      <c r="F779" s="6" t="s">
        <v>103</v>
      </c>
      <c r="G779" s="6" t="s">
        <v>104</v>
      </c>
      <c r="H779" s="6" t="s">
        <v>105</v>
      </c>
      <c r="I779" s="7"/>
      <c r="J779" t="s">
        <v>90</v>
      </c>
      <c r="K779" t="s">
        <v>139</v>
      </c>
    </row>
    <row r="780">
      <c r="A780" s="9">
        <v>46121</v>
      </c>
      <c r="B780" s="6">
        <v>84</v>
      </c>
      <c r="C780" s="7" t="s">
        <v>79</v>
      </c>
      <c r="D780" s="7" t="s">
        <v>33</v>
      </c>
      <c r="E780" s="6">
        <v>3</v>
      </c>
      <c r="F780" s="6" t="s">
        <v>103</v>
      </c>
      <c r="G780" s="6" t="s">
        <v>104</v>
      </c>
      <c r="H780" s="6" t="s">
        <v>105</v>
      </c>
      <c r="I780" s="7"/>
      <c r="J780" t="s">
        <v>90</v>
      </c>
      <c r="K780" t="s">
        <v>135</v>
      </c>
    </row>
    <row r="781">
      <c r="A781" s="9">
        <v>46121</v>
      </c>
      <c r="B781" s="6">
        <v>86</v>
      </c>
      <c r="C781" s="7" t="s">
        <v>79</v>
      </c>
      <c r="D781" s="7" t="s">
        <v>33</v>
      </c>
      <c r="E781" s="6">
        <v>3</v>
      </c>
      <c r="F781" s="6" t="s">
        <v>103</v>
      </c>
      <c r="G781" s="6" t="s">
        <v>104</v>
      </c>
      <c r="H781" s="6" t="s">
        <v>105</v>
      </c>
      <c r="I781" s="7"/>
      <c r="J781" t="s">
        <v>90</v>
      </c>
      <c r="K781" t="s">
        <v>136</v>
      </c>
    </row>
    <row r="782">
      <c r="A782" s="9">
        <v>46121</v>
      </c>
      <c r="B782" s="6">
        <v>3</v>
      </c>
      <c r="C782" s="7" t="s">
        <v>79</v>
      </c>
      <c r="D782" s="7" t="s">
        <v>33</v>
      </c>
      <c r="E782" s="6">
        <v>3</v>
      </c>
      <c r="F782" s="6" t="s">
        <v>103</v>
      </c>
      <c r="G782" s="6" t="s">
        <v>104</v>
      </c>
      <c r="H782" s="6" t="s">
        <v>105</v>
      </c>
      <c r="I782" s="7"/>
      <c r="J782" t="s">
        <v>90</v>
      </c>
      <c r="K782" t="s">
        <v>137</v>
      </c>
    </row>
    <row r="783">
      <c r="A783" s="9">
        <v>46121</v>
      </c>
      <c r="B783" s="6">
        <v>22</v>
      </c>
      <c r="C783" s="7" t="s">
        <v>79</v>
      </c>
      <c r="D783" s="7" t="s">
        <v>33</v>
      </c>
      <c r="E783" s="6">
        <v>3</v>
      </c>
      <c r="F783" s="6" t="s">
        <v>103</v>
      </c>
      <c r="G783" s="6" t="s">
        <v>104</v>
      </c>
      <c r="H783" s="6" t="s">
        <v>105</v>
      </c>
      <c r="I783" s="7"/>
      <c r="J783" t="s">
        <v>90</v>
      </c>
      <c r="K783" t="s">
        <v>138</v>
      </c>
    </row>
    <row r="784">
      <c r="A784" s="9">
        <v>46121</v>
      </c>
      <c r="B784" s="6">
        <v>47</v>
      </c>
      <c r="C784" s="7" t="s">
        <v>79</v>
      </c>
      <c r="D784" s="7" t="s">
        <v>33</v>
      </c>
      <c r="E784" s="6">
        <v>3</v>
      </c>
      <c r="F784" s="6" t="s">
        <v>103</v>
      </c>
      <c r="G784" s="6" t="s">
        <v>104</v>
      </c>
      <c r="H784" s="6" t="s">
        <v>105</v>
      </c>
      <c r="I784" s="7"/>
      <c r="J784" t="s">
        <v>90</v>
      </c>
      <c r="K784" t="s">
        <v>139</v>
      </c>
    </row>
    <row r="785">
      <c r="A785" s="9">
        <v>46016</v>
      </c>
      <c r="B785" s="6">
        <v>1951</v>
      </c>
      <c r="C785" s="7" t="s">
        <v>86</v>
      </c>
      <c r="D785" s="7" t="s">
        <v>87</v>
      </c>
      <c r="E785" s="6">
        <v>3</v>
      </c>
      <c r="F785" s="6" t="s">
        <v>103</v>
      </c>
      <c r="G785" s="6" t="s">
        <v>141</v>
      </c>
      <c r="H785" s="6" t="s">
        <v>105</v>
      </c>
    </row>
    <row r="786">
      <c r="A786" s="9">
        <v>46107</v>
      </c>
      <c r="B786" s="6">
        <v>1938</v>
      </c>
      <c r="C786" s="7" t="s">
        <v>86</v>
      </c>
      <c r="D786" s="7" t="s">
        <v>87</v>
      </c>
      <c r="E786" s="6">
        <v>3</v>
      </c>
      <c r="F786" s="6" t="s">
        <v>103</v>
      </c>
      <c r="G786" s="6" t="s">
        <v>142</v>
      </c>
      <c r="H786" s="6" t="s">
        <v>105</v>
      </c>
    </row>
    <row r="787" ht="14.25">
      <c r="A787" s="22">
        <v>46009</v>
      </c>
      <c r="B787" s="6">
        <v>-1</v>
      </c>
      <c r="C787" s="20" t="s">
        <v>10</v>
      </c>
      <c r="D787" s="20" t="s">
        <v>11</v>
      </c>
      <c r="E787" s="6">
        <v>1</v>
      </c>
      <c r="F787" s="6" t="s">
        <v>103</v>
      </c>
      <c r="G787" s="6" t="s">
        <v>104</v>
      </c>
      <c r="H787" s="6" t="s">
        <v>105</v>
      </c>
      <c r="J787" s="20" t="s">
        <v>116</v>
      </c>
    </row>
    <row r="788" ht="14.25">
      <c r="A788" s="22">
        <v>46009</v>
      </c>
      <c r="B788" s="6">
        <v>-1</v>
      </c>
      <c r="C788" s="20" t="s">
        <v>10</v>
      </c>
      <c r="D788" s="20" t="s">
        <v>11</v>
      </c>
      <c r="E788" s="6">
        <v>1</v>
      </c>
      <c r="F788" s="6" t="s">
        <v>103</v>
      </c>
      <c r="G788" s="6" t="s">
        <v>104</v>
      </c>
      <c r="H788" s="6" t="s">
        <v>105</v>
      </c>
      <c r="J788" s="20" t="s">
        <v>143</v>
      </c>
    </row>
    <row r="789" ht="14.25">
      <c r="A789" s="22">
        <v>45925</v>
      </c>
      <c r="B789" s="6">
        <v>-1</v>
      </c>
      <c r="C789" s="20" t="s">
        <v>10</v>
      </c>
      <c r="D789" s="20" t="s">
        <v>11</v>
      </c>
      <c r="E789" s="6">
        <v>1</v>
      </c>
      <c r="F789" s="6" t="s">
        <v>103</v>
      </c>
      <c r="G789" s="6" t="s">
        <v>104</v>
      </c>
      <c r="H789" s="6" t="s">
        <v>105</v>
      </c>
      <c r="J789" s="20" t="s">
        <v>144</v>
      </c>
    </row>
    <row r="790" ht="14.25">
      <c r="A790" s="22">
        <v>45897</v>
      </c>
      <c r="B790" s="6">
        <v>38</v>
      </c>
      <c r="C790" s="6" t="s">
        <v>88</v>
      </c>
      <c r="D790" s="3" t="s">
        <v>89</v>
      </c>
      <c r="E790" s="6">
        <v>3</v>
      </c>
      <c r="F790" s="6" t="s">
        <v>108</v>
      </c>
      <c r="G790" s="6" t="s">
        <v>104</v>
      </c>
      <c r="H790" s="6" t="s">
        <v>105</v>
      </c>
      <c r="J790" s="3" t="s">
        <v>90</v>
      </c>
    </row>
    <row r="791" ht="14.25">
      <c r="A791" s="22">
        <v>45904</v>
      </c>
      <c r="B791" s="6">
        <v>38</v>
      </c>
      <c r="C791" s="6" t="s">
        <v>88</v>
      </c>
      <c r="D791" s="3" t="s">
        <v>89</v>
      </c>
      <c r="E791" s="6">
        <v>3</v>
      </c>
      <c r="F791" s="6" t="s">
        <v>108</v>
      </c>
      <c r="G791" s="6" t="s">
        <v>104</v>
      </c>
      <c r="H791" s="6" t="s">
        <v>105</v>
      </c>
      <c r="J791" s="3" t="s">
        <v>90</v>
      </c>
    </row>
    <row r="792" ht="14.25">
      <c r="A792" s="22">
        <v>45911</v>
      </c>
      <c r="B792" s="6">
        <v>37</v>
      </c>
      <c r="C792" s="6" t="s">
        <v>88</v>
      </c>
      <c r="D792" s="3" t="s">
        <v>89</v>
      </c>
      <c r="E792" s="6">
        <v>3</v>
      </c>
      <c r="F792" s="6" t="s">
        <v>108</v>
      </c>
      <c r="G792" s="6" t="s">
        <v>104</v>
      </c>
      <c r="H792" s="6" t="s">
        <v>105</v>
      </c>
      <c r="J792" s="3" t="s">
        <v>90</v>
      </c>
    </row>
    <row r="793" ht="14.25">
      <c r="A793" s="22">
        <v>45918</v>
      </c>
      <c r="B793" s="6">
        <v>41</v>
      </c>
      <c r="C793" s="6" t="s">
        <v>88</v>
      </c>
      <c r="D793" s="3" t="s">
        <v>89</v>
      </c>
      <c r="E793" s="6">
        <v>3</v>
      </c>
      <c r="F793" s="6" t="s">
        <v>108</v>
      </c>
      <c r="G793" s="6" t="s">
        <v>104</v>
      </c>
      <c r="H793" s="6" t="s">
        <v>105</v>
      </c>
      <c r="J793" s="3" t="s">
        <v>90</v>
      </c>
    </row>
    <row r="794" ht="14.25">
      <c r="A794" s="22">
        <v>45925</v>
      </c>
      <c r="B794" s="6">
        <v>41</v>
      </c>
      <c r="C794" s="6" t="s">
        <v>88</v>
      </c>
      <c r="D794" s="3" t="s">
        <v>89</v>
      </c>
      <c r="E794" s="6">
        <v>3</v>
      </c>
      <c r="F794" s="6" t="s">
        <v>108</v>
      </c>
      <c r="G794" s="6" t="s">
        <v>104</v>
      </c>
      <c r="H794" s="6" t="s">
        <v>105</v>
      </c>
      <c r="J794" s="3" t="s">
        <v>90</v>
      </c>
    </row>
    <row r="795" ht="14.25">
      <c r="A795" s="22">
        <v>45932</v>
      </c>
      <c r="B795" s="6">
        <v>43</v>
      </c>
      <c r="C795" s="6" t="s">
        <v>88</v>
      </c>
      <c r="D795" s="3" t="s">
        <v>89</v>
      </c>
      <c r="E795" s="6">
        <v>3</v>
      </c>
      <c r="F795" s="6" t="s">
        <v>108</v>
      </c>
      <c r="G795" s="6" t="s">
        <v>104</v>
      </c>
      <c r="H795" s="6" t="s">
        <v>105</v>
      </c>
      <c r="J795" s="3" t="s">
        <v>90</v>
      </c>
    </row>
    <row r="796" ht="14.25">
      <c r="A796" s="22">
        <v>45939</v>
      </c>
      <c r="B796" s="6">
        <v>45</v>
      </c>
      <c r="C796" s="6" t="s">
        <v>88</v>
      </c>
      <c r="D796" s="3" t="s">
        <v>89</v>
      </c>
      <c r="E796" s="6">
        <v>3</v>
      </c>
      <c r="F796" s="6" t="s">
        <v>108</v>
      </c>
      <c r="G796" s="6" t="s">
        <v>104</v>
      </c>
      <c r="H796" s="6" t="s">
        <v>105</v>
      </c>
      <c r="J796" s="3" t="s">
        <v>90</v>
      </c>
    </row>
    <row r="797" ht="14.25">
      <c r="A797" s="22">
        <v>45946</v>
      </c>
      <c r="B797" s="6">
        <v>43</v>
      </c>
      <c r="C797" s="6" t="s">
        <v>88</v>
      </c>
      <c r="D797" s="3" t="s">
        <v>89</v>
      </c>
      <c r="E797" s="6">
        <v>3</v>
      </c>
      <c r="F797" s="6" t="s">
        <v>108</v>
      </c>
      <c r="G797" s="6" t="s">
        <v>104</v>
      </c>
      <c r="H797" s="6" t="s">
        <v>105</v>
      </c>
      <c r="J797" s="3" t="s">
        <v>90</v>
      </c>
    </row>
    <row r="798" ht="14.25">
      <c r="A798" s="22">
        <v>45953</v>
      </c>
      <c r="B798" s="6">
        <v>44</v>
      </c>
      <c r="C798" s="6" t="s">
        <v>88</v>
      </c>
      <c r="D798" s="3" t="s">
        <v>89</v>
      </c>
      <c r="E798" s="6">
        <v>3</v>
      </c>
      <c r="F798" s="6" t="s">
        <v>108</v>
      </c>
      <c r="G798" s="6" t="s">
        <v>104</v>
      </c>
      <c r="H798" s="6" t="s">
        <v>105</v>
      </c>
      <c r="J798" s="3" t="s">
        <v>90</v>
      </c>
    </row>
    <row r="799" ht="14.25">
      <c r="A799" s="22">
        <v>45960</v>
      </c>
      <c r="B799" s="6">
        <v>43</v>
      </c>
      <c r="C799" s="6" t="s">
        <v>88</v>
      </c>
      <c r="D799" s="3" t="s">
        <v>89</v>
      </c>
      <c r="E799" s="6">
        <v>3</v>
      </c>
      <c r="F799" s="6" t="s">
        <v>108</v>
      </c>
      <c r="G799" s="6" t="s">
        <v>104</v>
      </c>
      <c r="H799" s="6" t="s">
        <v>105</v>
      </c>
      <c r="J799" s="3" t="s">
        <v>90</v>
      </c>
    </row>
    <row r="800" ht="14.25">
      <c r="A800" s="22">
        <v>45967</v>
      </c>
      <c r="B800" s="6">
        <v>40</v>
      </c>
      <c r="C800" s="6" t="s">
        <v>88</v>
      </c>
      <c r="D800" s="3" t="s">
        <v>89</v>
      </c>
      <c r="E800" s="6">
        <v>3</v>
      </c>
      <c r="F800" s="6" t="s">
        <v>108</v>
      </c>
      <c r="G800" s="6" t="s">
        <v>104</v>
      </c>
      <c r="H800" s="6" t="s">
        <v>105</v>
      </c>
      <c r="J800" s="3" t="s">
        <v>90</v>
      </c>
    </row>
    <row r="801" ht="14.25">
      <c r="A801" s="22">
        <v>45974</v>
      </c>
      <c r="B801" s="6">
        <v>42</v>
      </c>
      <c r="C801" s="6" t="s">
        <v>88</v>
      </c>
      <c r="D801" s="3" t="s">
        <v>89</v>
      </c>
      <c r="E801" s="6">
        <v>3</v>
      </c>
      <c r="F801" s="6" t="s">
        <v>108</v>
      </c>
      <c r="G801" s="6" t="s">
        <v>104</v>
      </c>
      <c r="H801" s="6" t="s">
        <v>105</v>
      </c>
      <c r="J801" s="3" t="s">
        <v>90</v>
      </c>
    </row>
    <row r="802" ht="14.25">
      <c r="A802" s="22">
        <v>45981</v>
      </c>
      <c r="B802" s="6">
        <v>44</v>
      </c>
      <c r="C802" s="6" t="s">
        <v>88</v>
      </c>
      <c r="D802" s="3" t="s">
        <v>89</v>
      </c>
      <c r="E802" s="6">
        <v>3</v>
      </c>
      <c r="F802" s="6" t="s">
        <v>108</v>
      </c>
      <c r="G802" s="6" t="s">
        <v>104</v>
      </c>
      <c r="H802" s="6" t="s">
        <v>105</v>
      </c>
      <c r="J802" s="3" t="s">
        <v>90</v>
      </c>
    </row>
    <row r="803" ht="14.25">
      <c r="A803" s="22">
        <v>45988</v>
      </c>
      <c r="B803" s="6">
        <v>43</v>
      </c>
      <c r="C803" s="6" t="s">
        <v>88</v>
      </c>
      <c r="D803" s="3" t="s">
        <v>89</v>
      </c>
      <c r="E803" s="6">
        <v>3</v>
      </c>
      <c r="F803" s="6" t="s">
        <v>108</v>
      </c>
      <c r="G803" s="6" t="s">
        <v>104</v>
      </c>
      <c r="H803" s="6" t="s">
        <v>105</v>
      </c>
      <c r="J803" s="3" t="s">
        <v>90</v>
      </c>
    </row>
    <row r="804" ht="14.25">
      <c r="A804" s="22">
        <v>45995</v>
      </c>
      <c r="B804" s="6">
        <v>43</v>
      </c>
      <c r="C804" s="6" t="s">
        <v>88</v>
      </c>
      <c r="D804" s="3" t="s">
        <v>89</v>
      </c>
      <c r="E804" s="6">
        <v>3</v>
      </c>
      <c r="F804" s="6" t="s">
        <v>108</v>
      </c>
      <c r="G804" s="6" t="s">
        <v>104</v>
      </c>
      <c r="H804" s="6" t="s">
        <v>105</v>
      </c>
      <c r="J804" s="3" t="s">
        <v>90</v>
      </c>
    </row>
    <row r="805" ht="14.25">
      <c r="A805" s="22">
        <v>46002</v>
      </c>
      <c r="B805" s="6">
        <v>43</v>
      </c>
      <c r="C805" s="6" t="s">
        <v>88</v>
      </c>
      <c r="D805" s="3" t="s">
        <v>89</v>
      </c>
      <c r="E805" s="6">
        <v>3</v>
      </c>
      <c r="F805" s="6" t="s">
        <v>108</v>
      </c>
      <c r="G805" s="6" t="s">
        <v>104</v>
      </c>
      <c r="H805" s="6" t="s">
        <v>105</v>
      </c>
      <c r="J805" s="3" t="s">
        <v>90</v>
      </c>
    </row>
    <row r="806" ht="14.25">
      <c r="A806" s="22">
        <v>46009</v>
      </c>
      <c r="B806" s="6">
        <v>39</v>
      </c>
      <c r="C806" s="6" t="s">
        <v>88</v>
      </c>
      <c r="D806" s="3" t="s">
        <v>89</v>
      </c>
      <c r="E806" s="6">
        <v>3</v>
      </c>
      <c r="F806" s="6" t="s">
        <v>108</v>
      </c>
      <c r="G806" s="6" t="s">
        <v>104</v>
      </c>
      <c r="H806" s="6" t="s">
        <v>105</v>
      </c>
      <c r="J806" s="3" t="s">
        <v>90</v>
      </c>
    </row>
    <row r="807" ht="14.25">
      <c r="A807" s="22">
        <v>46016</v>
      </c>
      <c r="B807" s="6">
        <v>40</v>
      </c>
      <c r="C807" s="6" t="s">
        <v>88</v>
      </c>
      <c r="D807" s="3" t="s">
        <v>89</v>
      </c>
      <c r="E807" s="6">
        <v>3</v>
      </c>
      <c r="F807" s="6" t="s">
        <v>108</v>
      </c>
      <c r="G807" s="6" t="s">
        <v>104</v>
      </c>
      <c r="H807" s="6" t="s">
        <v>105</v>
      </c>
      <c r="J807" s="3" t="s">
        <v>90</v>
      </c>
    </row>
    <row r="808" ht="14.25">
      <c r="A808" s="22">
        <v>46037</v>
      </c>
      <c r="B808" s="6">
        <v>37</v>
      </c>
      <c r="C808" s="6" t="s">
        <v>88</v>
      </c>
      <c r="D808" s="3" t="s">
        <v>89</v>
      </c>
      <c r="E808" s="6">
        <v>3</v>
      </c>
      <c r="F808" s="6" t="s">
        <v>108</v>
      </c>
      <c r="G808" s="6" t="s">
        <v>104</v>
      </c>
      <c r="H808" s="6" t="s">
        <v>105</v>
      </c>
      <c r="J808" s="3" t="s">
        <v>90</v>
      </c>
    </row>
    <row r="809" ht="14.25">
      <c r="A809" s="22">
        <v>46044</v>
      </c>
      <c r="B809" s="6">
        <v>42</v>
      </c>
      <c r="C809" s="6" t="s">
        <v>88</v>
      </c>
      <c r="D809" s="3" t="s">
        <v>89</v>
      </c>
      <c r="E809" s="6">
        <v>3</v>
      </c>
      <c r="F809" s="6" t="s">
        <v>108</v>
      </c>
      <c r="G809" s="6" t="s">
        <v>104</v>
      </c>
      <c r="H809" s="6" t="s">
        <v>105</v>
      </c>
      <c r="J809" s="3" t="s">
        <v>90</v>
      </c>
    </row>
    <row r="810" ht="14.25">
      <c r="A810" s="22">
        <v>46051</v>
      </c>
      <c r="B810" s="6">
        <v>44</v>
      </c>
      <c r="C810" s="6" t="s">
        <v>88</v>
      </c>
      <c r="D810" s="3" t="s">
        <v>89</v>
      </c>
      <c r="E810" s="6">
        <v>3</v>
      </c>
      <c r="F810" s="6" t="s">
        <v>108</v>
      </c>
      <c r="G810" s="6" t="s">
        <v>104</v>
      </c>
      <c r="H810" s="6" t="s">
        <v>105</v>
      </c>
      <c r="J810" s="3" t="s">
        <v>90</v>
      </c>
    </row>
    <row r="811" ht="14.25">
      <c r="A811" s="22">
        <v>46058</v>
      </c>
      <c r="B811" s="6">
        <v>48</v>
      </c>
      <c r="C811" s="6" t="s">
        <v>88</v>
      </c>
      <c r="D811" s="3" t="s">
        <v>89</v>
      </c>
      <c r="E811" s="6">
        <v>3</v>
      </c>
      <c r="F811" s="6" t="s">
        <v>108</v>
      </c>
      <c r="G811" s="6" t="s">
        <v>104</v>
      </c>
      <c r="H811" s="6" t="s">
        <v>105</v>
      </c>
      <c r="J811" s="3" t="s">
        <v>90</v>
      </c>
    </row>
    <row r="812" ht="14.25">
      <c r="A812" s="22">
        <v>46065</v>
      </c>
      <c r="B812" s="6">
        <v>50</v>
      </c>
      <c r="C812" s="6" t="s">
        <v>88</v>
      </c>
      <c r="D812" s="3" t="s">
        <v>89</v>
      </c>
      <c r="E812" s="6">
        <v>3</v>
      </c>
      <c r="F812" s="6" t="s">
        <v>108</v>
      </c>
      <c r="G812" s="6" t="s">
        <v>104</v>
      </c>
      <c r="H812" s="6" t="s">
        <v>105</v>
      </c>
      <c r="J812" s="3" t="s">
        <v>90</v>
      </c>
    </row>
    <row r="813" ht="14.25">
      <c r="A813" s="22">
        <v>46072</v>
      </c>
      <c r="B813" s="6">
        <v>48</v>
      </c>
      <c r="C813" s="6" t="s">
        <v>88</v>
      </c>
      <c r="D813" s="3" t="s">
        <v>89</v>
      </c>
      <c r="E813" s="6">
        <v>3</v>
      </c>
      <c r="F813" s="6" t="s">
        <v>108</v>
      </c>
      <c r="G813" s="6" t="s">
        <v>104</v>
      </c>
      <c r="H813" s="6" t="s">
        <v>105</v>
      </c>
      <c r="J813" s="3" t="s">
        <v>90</v>
      </c>
    </row>
    <row r="814" ht="14.25">
      <c r="A814" s="22">
        <v>46079</v>
      </c>
      <c r="B814" s="6">
        <v>48</v>
      </c>
      <c r="C814" s="6" t="s">
        <v>88</v>
      </c>
      <c r="D814" s="3" t="s">
        <v>89</v>
      </c>
      <c r="E814" s="6">
        <v>3</v>
      </c>
      <c r="F814" s="6" t="s">
        <v>108</v>
      </c>
      <c r="G814" s="6" t="s">
        <v>104</v>
      </c>
      <c r="H814" s="6" t="s">
        <v>105</v>
      </c>
      <c r="J814" s="3" t="s">
        <v>90</v>
      </c>
    </row>
    <row r="815" ht="14.25">
      <c r="A815" s="22">
        <v>46093</v>
      </c>
      <c r="B815" s="6">
        <v>49</v>
      </c>
      <c r="C815" s="6" t="s">
        <v>88</v>
      </c>
      <c r="D815" s="3" t="s">
        <v>89</v>
      </c>
      <c r="E815" s="6">
        <v>3</v>
      </c>
      <c r="F815" s="6" t="s">
        <v>108</v>
      </c>
      <c r="G815" s="6" t="s">
        <v>104</v>
      </c>
      <c r="H815" s="6" t="s">
        <v>105</v>
      </c>
      <c r="J815" s="3" t="s">
        <v>90</v>
      </c>
    </row>
    <row r="816" ht="14.25">
      <c r="A816" s="22">
        <v>46100</v>
      </c>
      <c r="B816" s="6">
        <v>47</v>
      </c>
      <c r="C816" s="6" t="s">
        <v>88</v>
      </c>
      <c r="D816" s="3" t="s">
        <v>89</v>
      </c>
      <c r="E816" s="6">
        <v>3</v>
      </c>
      <c r="F816" s="6" t="s">
        <v>108</v>
      </c>
      <c r="G816" s="6" t="s">
        <v>104</v>
      </c>
      <c r="H816" s="6" t="s">
        <v>105</v>
      </c>
      <c r="J816" s="3" t="s">
        <v>90</v>
      </c>
    </row>
    <row r="817" ht="14.25">
      <c r="A817" s="22">
        <v>46107</v>
      </c>
      <c r="B817" s="6">
        <v>47</v>
      </c>
      <c r="C817" s="6" t="s">
        <v>88</v>
      </c>
      <c r="D817" s="3" t="s">
        <v>89</v>
      </c>
      <c r="E817" s="6">
        <v>3</v>
      </c>
      <c r="F817" s="6" t="s">
        <v>108</v>
      </c>
      <c r="G817" s="6" t="s">
        <v>104</v>
      </c>
      <c r="H817" s="6" t="s">
        <v>105</v>
      </c>
      <c r="J817" s="3" t="s">
        <v>90</v>
      </c>
    </row>
    <row r="818" ht="14.25">
      <c r="A818" s="22">
        <v>46114</v>
      </c>
      <c r="B818" s="6">
        <v>48</v>
      </c>
      <c r="C818" s="6" t="s">
        <v>88</v>
      </c>
      <c r="D818" s="3" t="s">
        <v>89</v>
      </c>
      <c r="E818" s="6">
        <v>3</v>
      </c>
      <c r="F818" s="6" t="s">
        <v>108</v>
      </c>
      <c r="G818" s="6" t="s">
        <v>104</v>
      </c>
      <c r="H818" s="6" t="s">
        <v>105</v>
      </c>
      <c r="J818" s="3" t="s">
        <v>90</v>
      </c>
    </row>
    <row r="819" ht="14.25">
      <c r="A819" s="22">
        <v>45897</v>
      </c>
      <c r="B819" s="14">
        <v>48</v>
      </c>
      <c r="C819" s="6" t="s">
        <v>91</v>
      </c>
      <c r="D819" s="3" t="s">
        <v>92</v>
      </c>
      <c r="E819" s="6">
        <v>3</v>
      </c>
      <c r="F819" s="6" t="s">
        <v>108</v>
      </c>
      <c r="G819" s="6" t="s">
        <v>104</v>
      </c>
      <c r="H819" s="6" t="s">
        <v>105</v>
      </c>
      <c r="I819" s="6"/>
      <c r="J819" s="3" t="s">
        <v>90</v>
      </c>
    </row>
    <row r="820" ht="14.25">
      <c r="A820" s="22">
        <v>45904</v>
      </c>
      <c r="B820" s="14">
        <v>48</v>
      </c>
      <c r="C820" s="6" t="s">
        <v>91</v>
      </c>
      <c r="D820" s="3" t="s">
        <v>92</v>
      </c>
      <c r="E820" s="6">
        <v>3</v>
      </c>
      <c r="F820" s="6" t="s">
        <v>108</v>
      </c>
      <c r="G820" s="6" t="s">
        <v>104</v>
      </c>
      <c r="H820" s="6" t="s">
        <v>105</v>
      </c>
      <c r="I820" s="6"/>
      <c r="J820" s="3" t="s">
        <v>90</v>
      </c>
    </row>
    <row r="821" ht="14.25">
      <c r="A821" s="22">
        <v>45911</v>
      </c>
      <c r="B821" s="14">
        <v>48</v>
      </c>
      <c r="C821" s="6" t="s">
        <v>91</v>
      </c>
      <c r="D821" s="3" t="s">
        <v>92</v>
      </c>
      <c r="E821" s="6">
        <v>3</v>
      </c>
      <c r="F821" s="6" t="s">
        <v>108</v>
      </c>
      <c r="G821" s="6" t="s">
        <v>104</v>
      </c>
      <c r="H821" s="6" t="s">
        <v>105</v>
      </c>
      <c r="I821" s="6"/>
      <c r="J821" s="3" t="s">
        <v>90</v>
      </c>
    </row>
    <row r="822" ht="14.25">
      <c r="A822" s="22">
        <v>45918</v>
      </c>
      <c r="B822" s="14">
        <v>49</v>
      </c>
      <c r="C822" s="6" t="s">
        <v>91</v>
      </c>
      <c r="D822" s="3" t="s">
        <v>92</v>
      </c>
      <c r="E822" s="6">
        <v>3</v>
      </c>
      <c r="F822" s="6" t="s">
        <v>108</v>
      </c>
      <c r="G822" s="6" t="s">
        <v>104</v>
      </c>
      <c r="H822" s="6" t="s">
        <v>105</v>
      </c>
      <c r="I822" s="6"/>
      <c r="J822" s="3" t="s">
        <v>90</v>
      </c>
    </row>
    <row r="823" ht="14.25">
      <c r="A823" s="22">
        <v>45925</v>
      </c>
      <c r="B823" s="14">
        <v>50</v>
      </c>
      <c r="C823" s="6" t="s">
        <v>91</v>
      </c>
      <c r="D823" s="3" t="s">
        <v>92</v>
      </c>
      <c r="E823" s="6">
        <v>3</v>
      </c>
      <c r="F823" s="6" t="s">
        <v>108</v>
      </c>
      <c r="G823" s="6" t="s">
        <v>104</v>
      </c>
      <c r="H823" s="6" t="s">
        <v>105</v>
      </c>
      <c r="I823" s="6"/>
      <c r="J823" s="3" t="s">
        <v>90</v>
      </c>
    </row>
    <row r="824" ht="14.25">
      <c r="A824" s="22">
        <v>45932</v>
      </c>
      <c r="B824" s="14">
        <v>53</v>
      </c>
      <c r="C824" s="6" t="s">
        <v>91</v>
      </c>
      <c r="D824" s="3" t="s">
        <v>92</v>
      </c>
      <c r="E824" s="6">
        <v>3</v>
      </c>
      <c r="F824" s="6" t="s">
        <v>108</v>
      </c>
      <c r="G824" s="6" t="s">
        <v>104</v>
      </c>
      <c r="H824" s="6" t="s">
        <v>105</v>
      </c>
      <c r="I824" s="6"/>
      <c r="J824" s="3" t="s">
        <v>90</v>
      </c>
    </row>
    <row r="825" ht="14.25">
      <c r="A825" s="22">
        <v>45939</v>
      </c>
      <c r="B825" s="14">
        <v>52</v>
      </c>
      <c r="C825" s="6" t="s">
        <v>91</v>
      </c>
      <c r="D825" s="3" t="s">
        <v>92</v>
      </c>
      <c r="E825" s="6">
        <v>3</v>
      </c>
      <c r="F825" s="6" t="s">
        <v>108</v>
      </c>
      <c r="G825" s="6" t="s">
        <v>104</v>
      </c>
      <c r="H825" s="6" t="s">
        <v>105</v>
      </c>
      <c r="I825" s="6"/>
      <c r="J825" s="3" t="s">
        <v>90</v>
      </c>
    </row>
    <row r="826" ht="14.25">
      <c r="A826" s="22">
        <v>45946</v>
      </c>
      <c r="B826" s="14">
        <v>51</v>
      </c>
      <c r="C826" s="6" t="s">
        <v>91</v>
      </c>
      <c r="D826" s="3" t="s">
        <v>92</v>
      </c>
      <c r="E826" s="6">
        <v>3</v>
      </c>
      <c r="F826" s="6" t="s">
        <v>108</v>
      </c>
      <c r="G826" s="6" t="s">
        <v>104</v>
      </c>
      <c r="H826" s="6" t="s">
        <v>105</v>
      </c>
      <c r="I826" s="6"/>
      <c r="J826" s="3" t="s">
        <v>90</v>
      </c>
    </row>
    <row r="827" ht="14.25">
      <c r="A827" s="22">
        <v>45953</v>
      </c>
      <c r="B827" s="14">
        <v>51</v>
      </c>
      <c r="C827" s="6" t="s">
        <v>91</v>
      </c>
      <c r="D827" s="3" t="s">
        <v>92</v>
      </c>
      <c r="E827" s="6">
        <v>3</v>
      </c>
      <c r="F827" s="6" t="s">
        <v>108</v>
      </c>
      <c r="G827" s="6" t="s">
        <v>104</v>
      </c>
      <c r="H827" s="6" t="s">
        <v>105</v>
      </c>
      <c r="I827" s="6"/>
      <c r="J827" s="3" t="s">
        <v>90</v>
      </c>
    </row>
    <row r="828" ht="14.25">
      <c r="A828" s="22">
        <v>45960</v>
      </c>
      <c r="B828" s="14">
        <v>51</v>
      </c>
      <c r="C828" s="6" t="s">
        <v>91</v>
      </c>
      <c r="D828" s="3" t="s">
        <v>92</v>
      </c>
      <c r="E828" s="6">
        <v>3</v>
      </c>
      <c r="F828" s="6" t="s">
        <v>108</v>
      </c>
      <c r="G828" s="6" t="s">
        <v>104</v>
      </c>
      <c r="H828" s="6" t="s">
        <v>105</v>
      </c>
      <c r="I828" s="6"/>
      <c r="J828" s="3" t="s">
        <v>90</v>
      </c>
    </row>
    <row r="829" ht="14.25">
      <c r="A829" s="22">
        <v>45967</v>
      </c>
      <c r="B829" s="14">
        <v>48</v>
      </c>
      <c r="C829" s="6" t="s">
        <v>91</v>
      </c>
      <c r="D829" s="3" t="s">
        <v>92</v>
      </c>
      <c r="E829" s="6">
        <v>3</v>
      </c>
      <c r="F829" s="6" t="s">
        <v>108</v>
      </c>
      <c r="G829" s="6" t="s">
        <v>104</v>
      </c>
      <c r="H829" s="6" t="s">
        <v>105</v>
      </c>
      <c r="I829" s="6"/>
      <c r="J829" s="3" t="s">
        <v>90</v>
      </c>
    </row>
    <row r="830" ht="14.25">
      <c r="A830" s="22">
        <v>45974</v>
      </c>
      <c r="B830" s="14">
        <v>49</v>
      </c>
      <c r="C830" s="6" t="s">
        <v>91</v>
      </c>
      <c r="D830" s="3" t="s">
        <v>92</v>
      </c>
      <c r="E830" s="6">
        <v>3</v>
      </c>
      <c r="F830" s="6" t="s">
        <v>108</v>
      </c>
      <c r="G830" s="6" t="s">
        <v>104</v>
      </c>
      <c r="H830" s="6" t="s">
        <v>105</v>
      </c>
      <c r="I830" s="6"/>
      <c r="J830" s="3" t="s">
        <v>90</v>
      </c>
    </row>
    <row r="831" ht="14.25">
      <c r="A831" s="22">
        <v>45981</v>
      </c>
      <c r="B831" s="14">
        <v>51</v>
      </c>
      <c r="C831" s="6" t="s">
        <v>91</v>
      </c>
      <c r="D831" s="3" t="s">
        <v>92</v>
      </c>
      <c r="E831" s="6">
        <v>3</v>
      </c>
      <c r="F831" s="6" t="s">
        <v>108</v>
      </c>
      <c r="G831" s="6" t="s">
        <v>104</v>
      </c>
      <c r="H831" s="6" t="s">
        <v>105</v>
      </c>
      <c r="I831" s="6"/>
      <c r="J831" s="3" t="s">
        <v>90</v>
      </c>
    </row>
    <row r="832" ht="14.25">
      <c r="A832" s="22">
        <v>45988</v>
      </c>
      <c r="B832" s="14">
        <v>51</v>
      </c>
      <c r="C832" s="6" t="s">
        <v>91</v>
      </c>
      <c r="D832" s="3" t="s">
        <v>92</v>
      </c>
      <c r="E832" s="6">
        <v>3</v>
      </c>
      <c r="F832" s="6" t="s">
        <v>108</v>
      </c>
      <c r="G832" s="6" t="s">
        <v>104</v>
      </c>
      <c r="H832" s="6" t="s">
        <v>105</v>
      </c>
      <c r="I832" s="6"/>
      <c r="J832" s="3" t="s">
        <v>90</v>
      </c>
    </row>
    <row r="833" ht="14.25">
      <c r="A833" s="22">
        <v>45995</v>
      </c>
      <c r="B833" s="14">
        <v>51</v>
      </c>
      <c r="C833" s="6" t="s">
        <v>91</v>
      </c>
      <c r="D833" s="3" t="s">
        <v>92</v>
      </c>
      <c r="E833" s="6">
        <v>3</v>
      </c>
      <c r="F833" s="6" t="s">
        <v>108</v>
      </c>
      <c r="G833" s="6" t="s">
        <v>104</v>
      </c>
      <c r="H833" s="6" t="s">
        <v>105</v>
      </c>
      <c r="I833" s="6"/>
      <c r="J833" s="3" t="s">
        <v>90</v>
      </c>
    </row>
    <row r="834" ht="14.25">
      <c r="A834" s="22">
        <v>46002</v>
      </c>
      <c r="B834" s="14">
        <v>50</v>
      </c>
      <c r="C834" s="6" t="s">
        <v>91</v>
      </c>
      <c r="D834" s="3" t="s">
        <v>92</v>
      </c>
      <c r="E834" s="6">
        <v>3</v>
      </c>
      <c r="F834" s="6" t="s">
        <v>108</v>
      </c>
      <c r="G834" s="6" t="s">
        <v>104</v>
      </c>
      <c r="H834" s="6" t="s">
        <v>105</v>
      </c>
      <c r="I834" s="6"/>
      <c r="J834" s="3" t="s">
        <v>90</v>
      </c>
    </row>
    <row r="835" ht="14.25">
      <c r="A835" s="22">
        <v>46009</v>
      </c>
      <c r="B835" s="14">
        <v>47</v>
      </c>
      <c r="C835" s="6" t="s">
        <v>91</v>
      </c>
      <c r="D835" s="3" t="s">
        <v>92</v>
      </c>
      <c r="E835" s="6">
        <v>3</v>
      </c>
      <c r="F835" s="6" t="s">
        <v>108</v>
      </c>
      <c r="G835" s="6" t="s">
        <v>104</v>
      </c>
      <c r="H835" s="6" t="s">
        <v>105</v>
      </c>
      <c r="I835" s="6"/>
      <c r="J835" s="3" t="s">
        <v>90</v>
      </c>
    </row>
    <row r="836" ht="14.25">
      <c r="A836" s="22">
        <v>46016</v>
      </c>
      <c r="B836" s="14">
        <v>48</v>
      </c>
      <c r="C836" s="6" t="s">
        <v>91</v>
      </c>
      <c r="D836" s="3" t="s">
        <v>92</v>
      </c>
      <c r="E836" s="6">
        <v>3</v>
      </c>
      <c r="F836" s="6" t="s">
        <v>108</v>
      </c>
      <c r="G836" s="6" t="s">
        <v>104</v>
      </c>
      <c r="H836" s="6" t="s">
        <v>105</v>
      </c>
      <c r="I836" s="6"/>
      <c r="J836" s="3" t="s">
        <v>90</v>
      </c>
    </row>
    <row r="837" ht="14.25">
      <c r="A837" s="22">
        <v>46037</v>
      </c>
      <c r="B837" s="14">
        <v>48</v>
      </c>
      <c r="C837" s="6" t="s">
        <v>91</v>
      </c>
      <c r="D837" s="3" t="s">
        <v>92</v>
      </c>
      <c r="E837" s="6">
        <v>3</v>
      </c>
      <c r="F837" s="6" t="s">
        <v>108</v>
      </c>
      <c r="G837" s="6" t="s">
        <v>104</v>
      </c>
      <c r="H837" s="6" t="s">
        <v>105</v>
      </c>
      <c r="I837" s="6"/>
      <c r="J837" s="3" t="s">
        <v>90</v>
      </c>
    </row>
    <row r="838" ht="14.25">
      <c r="A838" s="22">
        <v>46044</v>
      </c>
      <c r="B838" s="14">
        <v>54</v>
      </c>
      <c r="C838" s="6" t="s">
        <v>91</v>
      </c>
      <c r="D838" s="3" t="s">
        <v>92</v>
      </c>
      <c r="E838" s="6">
        <v>3</v>
      </c>
      <c r="F838" s="6" t="s">
        <v>108</v>
      </c>
      <c r="G838" s="6" t="s">
        <v>104</v>
      </c>
      <c r="H838" s="6" t="s">
        <v>105</v>
      </c>
      <c r="I838" s="6"/>
      <c r="J838" s="3" t="s">
        <v>90</v>
      </c>
    </row>
    <row r="839" ht="14.25">
      <c r="A839" s="22">
        <v>46051</v>
      </c>
      <c r="B839" s="14">
        <v>56.000000000000007</v>
      </c>
      <c r="C839" s="6" t="s">
        <v>91</v>
      </c>
      <c r="D839" s="3" t="s">
        <v>92</v>
      </c>
      <c r="E839" s="6">
        <v>3</v>
      </c>
      <c r="F839" s="6" t="s">
        <v>108</v>
      </c>
      <c r="G839" s="6" t="s">
        <v>104</v>
      </c>
      <c r="H839" s="6" t="s">
        <v>105</v>
      </c>
      <c r="I839" s="6"/>
      <c r="J839" s="3" t="s">
        <v>90</v>
      </c>
    </row>
    <row r="840" ht="14.25">
      <c r="A840" s="22">
        <v>46058</v>
      </c>
      <c r="B840" s="14">
        <v>51</v>
      </c>
      <c r="C840" s="6" t="s">
        <v>91</v>
      </c>
      <c r="D840" s="3" t="s">
        <v>92</v>
      </c>
      <c r="E840" s="6">
        <v>3</v>
      </c>
      <c r="F840" s="6" t="s">
        <v>108</v>
      </c>
      <c r="G840" s="6" t="s">
        <v>104</v>
      </c>
      <c r="H840" s="6" t="s">
        <v>105</v>
      </c>
      <c r="I840" s="6"/>
      <c r="J840" s="3" t="s">
        <v>90</v>
      </c>
    </row>
    <row r="841" ht="14.25">
      <c r="A841" s="22">
        <v>46065</v>
      </c>
      <c r="B841" s="14">
        <v>52</v>
      </c>
      <c r="C841" s="6" t="s">
        <v>91</v>
      </c>
      <c r="D841" s="3" t="s">
        <v>92</v>
      </c>
      <c r="E841" s="6">
        <v>3</v>
      </c>
      <c r="F841" s="6" t="s">
        <v>108</v>
      </c>
      <c r="G841" s="6" t="s">
        <v>104</v>
      </c>
      <c r="H841" s="6" t="s">
        <v>105</v>
      </c>
      <c r="I841" s="6"/>
      <c r="J841" s="3" t="s">
        <v>90</v>
      </c>
    </row>
    <row r="842" ht="14.25">
      <c r="A842" s="22">
        <v>46072</v>
      </c>
      <c r="B842" s="14">
        <v>52</v>
      </c>
      <c r="C842" s="6" t="s">
        <v>91</v>
      </c>
      <c r="D842" s="3" t="s">
        <v>92</v>
      </c>
      <c r="E842" s="6">
        <v>3</v>
      </c>
      <c r="F842" s="6" t="s">
        <v>108</v>
      </c>
      <c r="G842" s="6" t="s">
        <v>104</v>
      </c>
      <c r="H842" s="6" t="s">
        <v>105</v>
      </c>
      <c r="I842" s="6"/>
      <c r="J842" s="3" t="s">
        <v>90</v>
      </c>
    </row>
    <row r="843" ht="14.25">
      <c r="A843" s="22">
        <v>46079</v>
      </c>
      <c r="B843" s="14">
        <v>51</v>
      </c>
      <c r="C843" s="6" t="s">
        <v>91</v>
      </c>
      <c r="D843" s="3" t="s">
        <v>92</v>
      </c>
      <c r="E843" s="6">
        <v>3</v>
      </c>
      <c r="F843" s="6" t="s">
        <v>108</v>
      </c>
      <c r="G843" s="6" t="s">
        <v>104</v>
      </c>
      <c r="H843" s="6" t="s">
        <v>105</v>
      </c>
      <c r="I843" s="6"/>
      <c r="J843" s="3" t="s">
        <v>90</v>
      </c>
    </row>
    <row r="844" ht="14.25">
      <c r="A844" s="22">
        <v>46093</v>
      </c>
      <c r="B844" s="14">
        <v>48</v>
      </c>
      <c r="C844" s="6" t="s">
        <v>91</v>
      </c>
      <c r="D844" s="3" t="s">
        <v>92</v>
      </c>
      <c r="E844" s="6">
        <v>3</v>
      </c>
      <c r="F844" s="6" t="s">
        <v>108</v>
      </c>
      <c r="G844" s="6" t="s">
        <v>104</v>
      </c>
      <c r="H844" s="6" t="s">
        <v>105</v>
      </c>
      <c r="I844" s="6"/>
      <c r="J844" s="3" t="s">
        <v>90</v>
      </c>
    </row>
    <row r="845" ht="14.25">
      <c r="A845" s="22">
        <v>46100</v>
      </c>
      <c r="B845" s="14">
        <v>49</v>
      </c>
      <c r="C845" s="6" t="s">
        <v>91</v>
      </c>
      <c r="D845" s="3" t="s">
        <v>92</v>
      </c>
      <c r="E845" s="6">
        <v>3</v>
      </c>
      <c r="F845" s="6" t="s">
        <v>108</v>
      </c>
      <c r="G845" s="6" t="s">
        <v>104</v>
      </c>
      <c r="H845" s="6" t="s">
        <v>105</v>
      </c>
      <c r="I845" s="6"/>
      <c r="J845" s="3" t="s">
        <v>90</v>
      </c>
    </row>
    <row r="846" ht="14.25">
      <c r="A846" s="22">
        <v>46107</v>
      </c>
      <c r="B846" s="14">
        <v>49</v>
      </c>
      <c r="C846" s="6" t="s">
        <v>91</v>
      </c>
      <c r="D846" s="3" t="s">
        <v>92</v>
      </c>
      <c r="E846" s="6">
        <v>3</v>
      </c>
      <c r="F846" s="6" t="s">
        <v>108</v>
      </c>
      <c r="G846" s="6" t="s">
        <v>104</v>
      </c>
      <c r="H846" s="6" t="s">
        <v>105</v>
      </c>
      <c r="I846" s="6"/>
      <c r="J846" s="3" t="s">
        <v>90</v>
      </c>
    </row>
    <row r="847" ht="14.25">
      <c r="A847" s="22">
        <v>46114</v>
      </c>
      <c r="B847" s="14">
        <v>50</v>
      </c>
      <c r="C847" s="6" t="s">
        <v>91</v>
      </c>
      <c r="D847" s="3" t="s">
        <v>92</v>
      </c>
      <c r="E847" s="6">
        <v>3</v>
      </c>
      <c r="F847" s="6" t="s">
        <v>108</v>
      </c>
      <c r="G847" s="6" t="s">
        <v>104</v>
      </c>
      <c r="H847" s="6" t="s">
        <v>105</v>
      </c>
      <c r="I847" s="6"/>
      <c r="J847" s="3" t="s">
        <v>90</v>
      </c>
    </row>
    <row r="848" ht="14.25">
      <c r="A848" s="22">
        <v>46128</v>
      </c>
      <c r="B848" s="10">
        <v>20</v>
      </c>
      <c r="C848" s="7" t="s">
        <v>6</v>
      </c>
      <c r="D848" s="7" t="s">
        <v>7</v>
      </c>
      <c r="E848" s="6">
        <v>1</v>
      </c>
      <c r="F848" s="6" t="s">
        <v>103</v>
      </c>
      <c r="G848" s="6" t="s">
        <v>104</v>
      </c>
      <c r="H848" s="6" t="s">
        <v>105</v>
      </c>
      <c r="I848" s="6"/>
      <c r="J848" s="6"/>
    </row>
    <row r="849" ht="14.25">
      <c r="A849" s="22">
        <v>46128</v>
      </c>
      <c r="B849" s="19">
        <v>40</v>
      </c>
      <c r="C849" s="18" t="s">
        <v>8</v>
      </c>
      <c r="D849" s="18" t="s">
        <v>9</v>
      </c>
      <c r="E849" s="6">
        <v>1</v>
      </c>
      <c r="F849" s="6" t="s">
        <v>103</v>
      </c>
      <c r="G849" s="6" t="s">
        <v>104</v>
      </c>
      <c r="H849" s="6" t="s">
        <v>105</v>
      </c>
      <c r="I849" s="6"/>
      <c r="J849" s="6"/>
    </row>
    <row r="850" ht="14.25">
      <c r="A850" s="22">
        <v>46135</v>
      </c>
      <c r="B850" s="19">
        <v>40</v>
      </c>
      <c r="C850" s="18" t="s">
        <v>8</v>
      </c>
      <c r="D850" s="18" t="s">
        <v>9</v>
      </c>
      <c r="E850" s="6">
        <v>1</v>
      </c>
      <c r="F850" s="6" t="s">
        <v>103</v>
      </c>
      <c r="G850" s="6" t="s">
        <v>104</v>
      </c>
      <c r="H850" s="6" t="s">
        <v>105</v>
      </c>
      <c r="I850" s="6"/>
      <c r="J850" s="6"/>
    </row>
    <row r="851" ht="14.25">
      <c r="A851" s="22">
        <v>46142</v>
      </c>
      <c r="B851" s="19">
        <v>40</v>
      </c>
      <c r="C851" s="18" t="s">
        <v>8</v>
      </c>
      <c r="D851" s="18" t="s">
        <v>9</v>
      </c>
      <c r="E851" s="6">
        <v>1</v>
      </c>
      <c r="F851" s="6" t="s">
        <v>103</v>
      </c>
      <c r="G851" s="6" t="s">
        <v>104</v>
      </c>
      <c r="H851" s="6" t="s">
        <v>105</v>
      </c>
      <c r="I851" s="6"/>
      <c r="J851" s="6"/>
    </row>
    <row r="852" ht="14.25">
      <c r="A852" s="22">
        <v>46135</v>
      </c>
      <c r="B852" s="10">
        <v>20</v>
      </c>
      <c r="C852" s="7" t="s">
        <v>6</v>
      </c>
      <c r="D852" s="7" t="s">
        <v>7</v>
      </c>
      <c r="E852" s="6">
        <v>1</v>
      </c>
      <c r="F852" s="6" t="s">
        <v>103</v>
      </c>
      <c r="G852" s="6" t="s">
        <v>104</v>
      </c>
      <c r="H852" s="6" t="s">
        <v>105</v>
      </c>
      <c r="I852" s="6"/>
      <c r="J852" s="6"/>
    </row>
    <row r="853" ht="14.25">
      <c r="A853" s="22">
        <v>46142</v>
      </c>
      <c r="B853" s="10">
        <v>20</v>
      </c>
      <c r="C853" s="7" t="s">
        <v>6</v>
      </c>
      <c r="D853" s="7" t="s">
        <v>7</v>
      </c>
      <c r="E853" s="6">
        <v>1</v>
      </c>
      <c r="F853" s="6" t="s">
        <v>103</v>
      </c>
      <c r="G853" s="6" t="s">
        <v>104</v>
      </c>
      <c r="H853" s="6" t="s">
        <v>105</v>
      </c>
      <c r="I853" s="6"/>
      <c r="J853" s="6"/>
    </row>
    <row r="854" ht="14.25">
      <c r="A854" s="22">
        <v>46128</v>
      </c>
      <c r="B854" s="17">
        <v>1346</v>
      </c>
      <c r="C854" s="29" t="s">
        <v>24</v>
      </c>
      <c r="D854" s="29" t="s">
        <v>25</v>
      </c>
      <c r="E854" s="6">
        <v>1</v>
      </c>
      <c r="F854" s="17" t="s">
        <v>103</v>
      </c>
      <c r="G854" s="17" t="s">
        <v>104</v>
      </c>
      <c r="H854" s="17" t="s">
        <v>105</v>
      </c>
    </row>
    <row r="855" ht="14.25">
      <c r="A855" s="22">
        <v>46135</v>
      </c>
      <c r="B855" s="6">
        <v>1108</v>
      </c>
      <c r="C855" s="29" t="s">
        <v>24</v>
      </c>
      <c r="D855" s="29" t="s">
        <v>25</v>
      </c>
      <c r="E855" s="6">
        <v>1</v>
      </c>
      <c r="F855" s="17" t="s">
        <v>103</v>
      </c>
      <c r="G855" s="17" t="s">
        <v>104</v>
      </c>
      <c r="H855" s="17" t="s">
        <v>105</v>
      </c>
    </row>
    <row r="856" ht="14.25">
      <c r="A856" s="22">
        <v>46142</v>
      </c>
      <c r="B856" s="6">
        <v>1157</v>
      </c>
      <c r="C856" s="29" t="s">
        <v>24</v>
      </c>
      <c r="D856" s="29" t="s">
        <v>25</v>
      </c>
      <c r="E856" s="6">
        <v>1</v>
      </c>
      <c r="F856" s="17" t="s">
        <v>103</v>
      </c>
      <c r="G856" s="17" t="s">
        <v>104</v>
      </c>
      <c r="H856" s="17" t="s">
        <v>105</v>
      </c>
    </row>
    <row r="857" ht="14.25">
      <c r="A857" s="22">
        <v>46128</v>
      </c>
      <c r="B857" s="6">
        <v>933</v>
      </c>
      <c r="C857" s="7" t="s">
        <v>26</v>
      </c>
      <c r="D857" s="7" t="s">
        <v>27</v>
      </c>
      <c r="E857" s="6">
        <v>1</v>
      </c>
      <c r="F857" s="6" t="s">
        <v>103</v>
      </c>
      <c r="G857" s="6" t="s">
        <v>104</v>
      </c>
      <c r="H857" s="6" t="s">
        <v>105</v>
      </c>
    </row>
    <row r="858" ht="14.25">
      <c r="A858" s="22">
        <v>46135</v>
      </c>
      <c r="B858" s="6">
        <v>928</v>
      </c>
      <c r="C858" s="7" t="s">
        <v>26</v>
      </c>
      <c r="D858" s="7" t="s">
        <v>27</v>
      </c>
      <c r="E858" s="6">
        <v>1</v>
      </c>
      <c r="F858" s="6" t="s">
        <v>103</v>
      </c>
      <c r="G858" s="6" t="s">
        <v>104</v>
      </c>
      <c r="H858" s="6" t="s">
        <v>105</v>
      </c>
    </row>
    <row r="859" ht="14.25">
      <c r="A859" s="22">
        <v>46142</v>
      </c>
      <c r="B859" s="6">
        <v>936</v>
      </c>
      <c r="C859" s="7" t="s">
        <v>26</v>
      </c>
      <c r="D859" s="7" t="s">
        <v>27</v>
      </c>
      <c r="E859" s="6">
        <v>1</v>
      </c>
      <c r="F859" s="6" t="s">
        <v>103</v>
      </c>
      <c r="G859" s="6" t="s">
        <v>104</v>
      </c>
      <c r="H859" s="6" t="s">
        <v>105</v>
      </c>
    </row>
    <row r="860" ht="14.25">
      <c r="A860" s="22">
        <v>46128</v>
      </c>
      <c r="B860" s="6">
        <v>305</v>
      </c>
      <c r="C860" s="7" t="s">
        <v>32</v>
      </c>
      <c r="D860" s="7" t="s">
        <v>33</v>
      </c>
      <c r="E860" s="6">
        <v>2</v>
      </c>
      <c r="F860" s="6" t="s">
        <v>103</v>
      </c>
      <c r="G860" s="6" t="s">
        <v>104</v>
      </c>
      <c r="H860" s="6" t="s">
        <v>105</v>
      </c>
      <c r="K860" s="29" t="s">
        <v>135</v>
      </c>
    </row>
    <row r="861" ht="14.25">
      <c r="A861" s="22">
        <v>46128</v>
      </c>
      <c r="B861" s="6">
        <v>253</v>
      </c>
      <c r="C861" s="7" t="s">
        <v>32</v>
      </c>
      <c r="D861" s="7" t="s">
        <v>33</v>
      </c>
      <c r="E861" s="6">
        <v>2</v>
      </c>
      <c r="F861" s="6" t="s">
        <v>103</v>
      </c>
      <c r="G861" s="6" t="s">
        <v>104</v>
      </c>
      <c r="H861" s="6" t="s">
        <v>105</v>
      </c>
      <c r="K861" s="29" t="s">
        <v>136</v>
      </c>
    </row>
    <row r="862" ht="14.25">
      <c r="A862" s="22">
        <v>46128</v>
      </c>
      <c r="B862" s="6">
        <v>8</v>
      </c>
      <c r="C862" s="7" t="s">
        <v>32</v>
      </c>
      <c r="D862" s="7" t="s">
        <v>33</v>
      </c>
      <c r="E862" s="6">
        <v>2</v>
      </c>
      <c r="F862" s="6" t="s">
        <v>103</v>
      </c>
      <c r="G862" s="6" t="s">
        <v>104</v>
      </c>
      <c r="H862" s="6" t="s">
        <v>105</v>
      </c>
      <c r="K862" s="29" t="s">
        <v>137</v>
      </c>
    </row>
    <row r="863" ht="14.25">
      <c r="A863" s="22">
        <v>46128</v>
      </c>
      <c r="B863" s="6">
        <v>56</v>
      </c>
      <c r="C863" s="7" t="s">
        <v>32</v>
      </c>
      <c r="D863" s="7" t="s">
        <v>33</v>
      </c>
      <c r="E863" s="6">
        <v>2</v>
      </c>
      <c r="F863" s="6" t="s">
        <v>103</v>
      </c>
      <c r="G863" s="6" t="s">
        <v>104</v>
      </c>
      <c r="H863" s="6" t="s">
        <v>105</v>
      </c>
      <c r="K863" s="29" t="s">
        <v>138</v>
      </c>
    </row>
    <row r="864" ht="14.25">
      <c r="A864" s="22">
        <v>46128</v>
      </c>
      <c r="B864" s="6">
        <v>164</v>
      </c>
      <c r="C864" s="7" t="s">
        <v>32</v>
      </c>
      <c r="D864" s="7" t="s">
        <v>33</v>
      </c>
      <c r="E864" s="6">
        <v>2</v>
      </c>
      <c r="F864" s="6" t="s">
        <v>103</v>
      </c>
      <c r="G864" s="6" t="s">
        <v>104</v>
      </c>
      <c r="H864" s="6" t="s">
        <v>105</v>
      </c>
      <c r="K864" s="29" t="s">
        <v>139</v>
      </c>
    </row>
    <row r="865" ht="14.25">
      <c r="A865" s="22">
        <v>46135</v>
      </c>
      <c r="B865" s="6">
        <v>328</v>
      </c>
      <c r="C865" s="7" t="s">
        <v>32</v>
      </c>
      <c r="D865" s="7" t="s">
        <v>33</v>
      </c>
      <c r="E865" s="6">
        <v>2</v>
      </c>
      <c r="F865" s="6" t="s">
        <v>103</v>
      </c>
      <c r="G865" s="6" t="s">
        <v>104</v>
      </c>
      <c r="H865" s="6" t="s">
        <v>105</v>
      </c>
      <c r="K865" s="29" t="s">
        <v>135</v>
      </c>
    </row>
    <row r="866" ht="14.25">
      <c r="A866" s="22">
        <v>46135</v>
      </c>
      <c r="B866" s="6">
        <v>330</v>
      </c>
      <c r="C866" s="7" t="s">
        <v>32</v>
      </c>
      <c r="D866" s="7" t="s">
        <v>33</v>
      </c>
      <c r="E866" s="6">
        <v>2</v>
      </c>
      <c r="F866" s="6" t="s">
        <v>103</v>
      </c>
      <c r="G866" s="6" t="s">
        <v>104</v>
      </c>
      <c r="H866" s="6" t="s">
        <v>105</v>
      </c>
      <c r="K866" s="29" t="s">
        <v>136</v>
      </c>
    </row>
    <row r="867" ht="14.25">
      <c r="A867" s="22">
        <v>46135</v>
      </c>
      <c r="B867" s="6">
        <v>10</v>
      </c>
      <c r="C867" s="7" t="s">
        <v>32</v>
      </c>
      <c r="D867" s="7" t="s">
        <v>33</v>
      </c>
      <c r="E867" s="6">
        <v>2</v>
      </c>
      <c r="F867" s="6" t="s">
        <v>103</v>
      </c>
      <c r="G867" s="6" t="s">
        <v>104</v>
      </c>
      <c r="H867" s="6" t="s">
        <v>105</v>
      </c>
      <c r="K867" s="29" t="s">
        <v>137</v>
      </c>
    </row>
    <row r="868" ht="14.25">
      <c r="A868" s="22">
        <v>46135</v>
      </c>
      <c r="B868" s="6">
        <v>43</v>
      </c>
      <c r="C868" s="7" t="s">
        <v>32</v>
      </c>
      <c r="D868" s="7" t="s">
        <v>33</v>
      </c>
      <c r="E868" s="6">
        <v>2</v>
      </c>
      <c r="F868" s="6" t="s">
        <v>103</v>
      </c>
      <c r="G868" s="6" t="s">
        <v>104</v>
      </c>
      <c r="H868" s="6" t="s">
        <v>105</v>
      </c>
      <c r="K868" s="29" t="s">
        <v>138</v>
      </c>
    </row>
    <row r="869" ht="14.25">
      <c r="A869" s="22">
        <v>46135</v>
      </c>
      <c r="B869" s="6">
        <v>168</v>
      </c>
      <c r="C869" s="7" t="s">
        <v>32</v>
      </c>
      <c r="D869" s="7" t="s">
        <v>33</v>
      </c>
      <c r="E869" s="6">
        <v>2</v>
      </c>
      <c r="F869" s="6" t="s">
        <v>103</v>
      </c>
      <c r="G869" s="6" t="s">
        <v>104</v>
      </c>
      <c r="H869" s="6" t="s">
        <v>105</v>
      </c>
      <c r="K869" s="29" t="s">
        <v>139</v>
      </c>
    </row>
    <row r="870" ht="14.25">
      <c r="A870" s="22">
        <v>46142</v>
      </c>
      <c r="B870" s="6">
        <v>311</v>
      </c>
      <c r="C870" s="7" t="s">
        <v>32</v>
      </c>
      <c r="D870" s="7" t="s">
        <v>33</v>
      </c>
      <c r="E870" s="6">
        <v>2</v>
      </c>
      <c r="F870" s="6" t="s">
        <v>103</v>
      </c>
      <c r="G870" s="6" t="s">
        <v>104</v>
      </c>
      <c r="H870" s="6" t="s">
        <v>105</v>
      </c>
      <c r="K870" s="29" t="s">
        <v>135</v>
      </c>
    </row>
    <row r="871" ht="14.25">
      <c r="A871" s="22">
        <v>46142</v>
      </c>
      <c r="B871" s="6">
        <v>257</v>
      </c>
      <c r="C871" s="7" t="s">
        <v>32</v>
      </c>
      <c r="D871" s="7" t="s">
        <v>33</v>
      </c>
      <c r="E871" s="6">
        <v>2</v>
      </c>
      <c r="F871" s="6" t="s">
        <v>103</v>
      </c>
      <c r="G871" s="6" t="s">
        <v>104</v>
      </c>
      <c r="H871" s="6" t="s">
        <v>105</v>
      </c>
      <c r="K871" s="29" t="s">
        <v>136</v>
      </c>
    </row>
    <row r="872" ht="14.25">
      <c r="A872" s="22">
        <v>46142</v>
      </c>
      <c r="B872" s="6">
        <v>10</v>
      </c>
      <c r="C872" s="7" t="s">
        <v>32</v>
      </c>
      <c r="D872" s="7" t="s">
        <v>33</v>
      </c>
      <c r="E872" s="6">
        <v>2</v>
      </c>
      <c r="F872" s="6" t="s">
        <v>103</v>
      </c>
      <c r="G872" s="6" t="s">
        <v>104</v>
      </c>
      <c r="H872" s="6" t="s">
        <v>105</v>
      </c>
      <c r="K872" s="29" t="s">
        <v>137</v>
      </c>
    </row>
    <row r="873" ht="14.25">
      <c r="A873" s="22">
        <v>46142</v>
      </c>
      <c r="B873" s="6">
        <v>50</v>
      </c>
      <c r="C873" s="7" t="s">
        <v>32</v>
      </c>
      <c r="D873" s="7" t="s">
        <v>33</v>
      </c>
      <c r="E873" s="6">
        <v>2</v>
      </c>
      <c r="F873" s="6" t="s">
        <v>103</v>
      </c>
      <c r="G873" s="6" t="s">
        <v>104</v>
      </c>
      <c r="H873" s="6" t="s">
        <v>105</v>
      </c>
      <c r="K873" s="29" t="s">
        <v>138</v>
      </c>
    </row>
    <row r="874" ht="14.25">
      <c r="A874" s="22">
        <v>46142</v>
      </c>
      <c r="B874" s="6">
        <v>159</v>
      </c>
      <c r="C874" s="7" t="s">
        <v>32</v>
      </c>
      <c r="D874" s="7" t="s">
        <v>33</v>
      </c>
      <c r="E874" s="6">
        <v>2</v>
      </c>
      <c r="F874" s="6" t="s">
        <v>103</v>
      </c>
      <c r="G874" s="6" t="s">
        <v>104</v>
      </c>
      <c r="H874" s="6" t="s">
        <v>105</v>
      </c>
      <c r="K874" s="29" t="s">
        <v>139</v>
      </c>
    </row>
    <row r="875" ht="14.25">
      <c r="A875" s="22">
        <v>46121</v>
      </c>
      <c r="B875" s="6">
        <v>50</v>
      </c>
      <c r="C875" s="3" t="s">
        <v>88</v>
      </c>
      <c r="D875" s="3" t="s">
        <v>89</v>
      </c>
      <c r="E875" s="6">
        <v>3</v>
      </c>
      <c r="F875" s="6" t="s">
        <v>108</v>
      </c>
      <c r="G875" s="6" t="s">
        <v>104</v>
      </c>
      <c r="H875" s="6" t="s">
        <v>105</v>
      </c>
      <c r="I875" s="6"/>
      <c r="J875" s="3" t="s">
        <v>90</v>
      </c>
    </row>
    <row r="876" ht="14.25">
      <c r="A876" s="22">
        <v>46128</v>
      </c>
      <c r="B876" s="6">
        <v>47</v>
      </c>
      <c r="C876" s="3" t="s">
        <v>88</v>
      </c>
      <c r="D876" s="3" t="s">
        <v>89</v>
      </c>
      <c r="E876" s="6">
        <v>3</v>
      </c>
      <c r="F876" s="6" t="s">
        <v>108</v>
      </c>
      <c r="G876" s="6" t="s">
        <v>104</v>
      </c>
      <c r="H876" s="6" t="s">
        <v>105</v>
      </c>
      <c r="I876" s="6"/>
      <c r="J876" s="3" t="s">
        <v>90</v>
      </c>
    </row>
    <row r="877" ht="14.25">
      <c r="A877" s="22">
        <v>46135</v>
      </c>
      <c r="B877" s="6">
        <v>48</v>
      </c>
      <c r="C877" s="3" t="s">
        <v>88</v>
      </c>
      <c r="D877" s="3" t="s">
        <v>89</v>
      </c>
      <c r="E877" s="6">
        <v>3</v>
      </c>
      <c r="F877" s="6" t="s">
        <v>108</v>
      </c>
      <c r="G877" s="6" t="s">
        <v>104</v>
      </c>
      <c r="H877" s="6" t="s">
        <v>105</v>
      </c>
      <c r="I877" s="6"/>
      <c r="J877" s="3" t="s">
        <v>90</v>
      </c>
    </row>
    <row r="878" ht="14.25">
      <c r="A878" s="22">
        <v>46142</v>
      </c>
      <c r="B878" s="6">
        <v>48</v>
      </c>
      <c r="C878" s="3" t="s">
        <v>88</v>
      </c>
      <c r="D878" s="3" t="s">
        <v>89</v>
      </c>
      <c r="E878" s="6">
        <v>3</v>
      </c>
      <c r="F878" s="6" t="s">
        <v>108</v>
      </c>
      <c r="G878" s="6" t="s">
        <v>104</v>
      </c>
      <c r="H878" s="6" t="s">
        <v>105</v>
      </c>
      <c r="I878" s="6"/>
      <c r="J878" s="3" t="s">
        <v>90</v>
      </c>
    </row>
    <row r="879" ht="14.25">
      <c r="A879" s="22">
        <v>46121</v>
      </c>
      <c r="B879" s="6">
        <v>72</v>
      </c>
      <c r="C879" s="3" t="s">
        <v>91</v>
      </c>
      <c r="D879" s="3" t="s">
        <v>92</v>
      </c>
      <c r="E879" s="6">
        <v>3</v>
      </c>
      <c r="F879" s="6" t="s">
        <v>108</v>
      </c>
      <c r="G879" s="6" t="s">
        <v>104</v>
      </c>
      <c r="H879" s="6" t="s">
        <v>105</v>
      </c>
      <c r="I879" s="6"/>
      <c r="J879" s="3" t="s">
        <v>90</v>
      </c>
    </row>
    <row r="880" ht="14.25">
      <c r="A880" s="22">
        <v>46128</v>
      </c>
      <c r="B880" s="6">
        <v>74</v>
      </c>
      <c r="C880" s="3" t="s">
        <v>91</v>
      </c>
      <c r="D880" s="3" t="s">
        <v>92</v>
      </c>
      <c r="E880" s="6">
        <v>3</v>
      </c>
      <c r="F880" s="6" t="s">
        <v>108</v>
      </c>
      <c r="G880" s="6" t="s">
        <v>104</v>
      </c>
      <c r="H880" s="6" t="s">
        <v>105</v>
      </c>
      <c r="I880" s="6"/>
      <c r="J880" s="3" t="s">
        <v>90</v>
      </c>
    </row>
    <row r="881" ht="14.25">
      <c r="A881" s="22">
        <v>46135</v>
      </c>
      <c r="B881" s="6">
        <v>71</v>
      </c>
      <c r="C881" s="3" t="s">
        <v>91</v>
      </c>
      <c r="D881" s="3" t="s">
        <v>92</v>
      </c>
      <c r="E881" s="6">
        <v>3</v>
      </c>
      <c r="F881" s="6" t="s">
        <v>108</v>
      </c>
      <c r="G881" s="6" t="s">
        <v>104</v>
      </c>
      <c r="H881" s="6" t="s">
        <v>105</v>
      </c>
      <c r="I881" s="6"/>
      <c r="J881" s="3" t="s">
        <v>90</v>
      </c>
    </row>
    <row r="882" ht="14.25">
      <c r="A882" s="22">
        <v>46142</v>
      </c>
      <c r="B882" s="6">
        <v>73</v>
      </c>
      <c r="C882" s="3" t="s">
        <v>91</v>
      </c>
      <c r="D882" s="3" t="s">
        <v>92</v>
      </c>
      <c r="E882" s="6">
        <v>3</v>
      </c>
      <c r="F882" s="6" t="s">
        <v>108</v>
      </c>
      <c r="G882" s="6" t="s">
        <v>104</v>
      </c>
      <c r="H882" s="6" t="s">
        <v>105</v>
      </c>
      <c r="I882" s="6"/>
      <c r="J882" s="3" t="s">
        <v>90</v>
      </c>
    </row>
    <row r="883" ht="14.25">
      <c r="A883" s="22">
        <v>46128</v>
      </c>
      <c r="B883" s="6">
        <v>550</v>
      </c>
      <c r="C883" s="29" t="s">
        <v>77</v>
      </c>
      <c r="D883" s="7" t="s">
        <v>25</v>
      </c>
      <c r="E883" s="6">
        <v>3</v>
      </c>
      <c r="F883" s="6" t="s">
        <v>108</v>
      </c>
      <c r="G883" s="6" t="s">
        <v>104</v>
      </c>
      <c r="H883" s="6" t="s">
        <v>105</v>
      </c>
      <c r="I883" s="6"/>
      <c r="J883" s="3" t="s">
        <v>90</v>
      </c>
      <c r="K883" s="6"/>
    </row>
    <row r="884" ht="14.25">
      <c r="A884" s="22">
        <v>46135</v>
      </c>
      <c r="B884" s="6">
        <v>491</v>
      </c>
      <c r="C884" s="29" t="s">
        <v>77</v>
      </c>
      <c r="D884" s="7" t="s">
        <v>25</v>
      </c>
      <c r="E884" s="6">
        <v>3</v>
      </c>
      <c r="F884" s="6" t="s">
        <v>108</v>
      </c>
      <c r="G884" s="6" t="s">
        <v>104</v>
      </c>
      <c r="H884" s="6" t="s">
        <v>105</v>
      </c>
      <c r="I884" s="6"/>
      <c r="J884" s="3" t="s">
        <v>90</v>
      </c>
      <c r="K884" s="6"/>
    </row>
    <row r="885" ht="14.25">
      <c r="A885" s="22">
        <v>46142</v>
      </c>
      <c r="B885" s="6">
        <v>531</v>
      </c>
      <c r="C885" s="29" t="s">
        <v>77</v>
      </c>
      <c r="D885" s="7" t="s">
        <v>25</v>
      </c>
      <c r="E885" s="6">
        <v>3</v>
      </c>
      <c r="F885" s="6" t="s">
        <v>108</v>
      </c>
      <c r="G885" s="6" t="s">
        <v>104</v>
      </c>
      <c r="H885" s="6" t="s">
        <v>105</v>
      </c>
      <c r="I885" s="6"/>
      <c r="J885" s="3" t="s">
        <v>90</v>
      </c>
      <c r="K885" s="6"/>
    </row>
    <row r="886" ht="14.25">
      <c r="A886" s="22">
        <v>46128</v>
      </c>
      <c r="B886" s="6">
        <v>312</v>
      </c>
      <c r="C886" s="29" t="s">
        <v>78</v>
      </c>
      <c r="D886" s="7" t="s">
        <v>27</v>
      </c>
      <c r="E886" s="6">
        <v>3</v>
      </c>
      <c r="F886" s="6" t="s">
        <v>108</v>
      </c>
      <c r="G886" s="6" t="s">
        <v>104</v>
      </c>
      <c r="H886" s="6" t="s">
        <v>105</v>
      </c>
      <c r="I886" s="6"/>
      <c r="J886" s="3" t="s">
        <v>90</v>
      </c>
      <c r="K886" s="6"/>
    </row>
    <row r="887" ht="14.25">
      <c r="A887" s="22">
        <v>46135</v>
      </c>
      <c r="B887" s="6">
        <v>323</v>
      </c>
      <c r="C887" s="29" t="s">
        <v>78</v>
      </c>
      <c r="D887" s="7" t="s">
        <v>27</v>
      </c>
      <c r="E887" s="6">
        <v>3</v>
      </c>
      <c r="F887" s="6" t="s">
        <v>108</v>
      </c>
      <c r="G887" s="6" t="s">
        <v>104</v>
      </c>
      <c r="H887" s="6" t="s">
        <v>105</v>
      </c>
      <c r="I887" s="6"/>
      <c r="J887" s="3" t="s">
        <v>90</v>
      </c>
      <c r="K887" s="6"/>
    </row>
    <row r="888" ht="14.25">
      <c r="A888" s="22">
        <v>46142</v>
      </c>
      <c r="B888" s="6">
        <v>341</v>
      </c>
      <c r="C888" s="29" t="s">
        <v>78</v>
      </c>
      <c r="D888" s="7" t="s">
        <v>27</v>
      </c>
      <c r="E888" s="6">
        <v>3</v>
      </c>
      <c r="F888" s="6" t="s">
        <v>108</v>
      </c>
      <c r="G888" s="6" t="s">
        <v>104</v>
      </c>
      <c r="H888" s="6" t="s">
        <v>105</v>
      </c>
      <c r="I888" s="6"/>
      <c r="J888" s="3" t="s">
        <v>90</v>
      </c>
      <c r="K888" s="6"/>
    </row>
    <row r="889" ht="14.25">
      <c r="A889" s="22">
        <v>46128</v>
      </c>
      <c r="B889" s="6">
        <v>251</v>
      </c>
      <c r="C889" s="7" t="s">
        <v>79</v>
      </c>
      <c r="D889" s="7" t="s">
        <v>33</v>
      </c>
      <c r="E889" s="6">
        <v>3</v>
      </c>
      <c r="F889" s="6" t="s">
        <v>103</v>
      </c>
      <c r="G889" s="6" t="s">
        <v>104</v>
      </c>
      <c r="H889" s="6" t="s">
        <v>105</v>
      </c>
      <c r="I889" s="7"/>
      <c r="J889" s="29" t="s">
        <v>90</v>
      </c>
    </row>
    <row r="890" ht="14.25">
      <c r="A890" s="22">
        <v>46135</v>
      </c>
      <c r="B890" s="6">
        <v>350</v>
      </c>
      <c r="C890" s="7" t="s">
        <v>79</v>
      </c>
      <c r="D890" s="7" t="s">
        <v>33</v>
      </c>
      <c r="E890" s="6">
        <v>3</v>
      </c>
      <c r="F890" s="6" t="s">
        <v>103</v>
      </c>
      <c r="G890" s="6" t="s">
        <v>104</v>
      </c>
      <c r="H890" s="6" t="s">
        <v>105</v>
      </c>
      <c r="I890" s="7"/>
      <c r="J890" s="29" t="s">
        <v>90</v>
      </c>
    </row>
    <row r="891" ht="14.25">
      <c r="A891" s="22">
        <v>46142</v>
      </c>
      <c r="B891" s="6">
        <v>324</v>
      </c>
      <c r="C891" s="7" t="s">
        <v>79</v>
      </c>
      <c r="D891" s="7" t="s">
        <v>33</v>
      </c>
      <c r="E891" s="6">
        <v>3</v>
      </c>
      <c r="F891" s="6" t="s">
        <v>103</v>
      </c>
      <c r="G891" s="6" t="s">
        <v>104</v>
      </c>
      <c r="H891" s="6" t="s">
        <v>105</v>
      </c>
      <c r="I891" s="7"/>
      <c r="J891" s="29" t="s">
        <v>90</v>
      </c>
    </row>
    <row r="892" ht="14.25">
      <c r="A892" s="22">
        <v>46128</v>
      </c>
      <c r="B892" s="6">
        <v>4.46</v>
      </c>
      <c r="C892" s="7" t="s">
        <v>28</v>
      </c>
      <c r="D892" s="7" t="s">
        <v>29</v>
      </c>
      <c r="E892" s="6">
        <v>1</v>
      </c>
      <c r="F892" s="6" t="s">
        <v>107</v>
      </c>
      <c r="G892" s="6" t="s">
        <v>104</v>
      </c>
      <c r="H892" s="6" t="s">
        <v>105</v>
      </c>
    </row>
    <row r="893" ht="14.25">
      <c r="A893" s="22">
        <v>46135</v>
      </c>
      <c r="B893" s="6">
        <v>4.4299999999999997</v>
      </c>
      <c r="C893" s="7" t="s">
        <v>28</v>
      </c>
      <c r="D893" s="7" t="s">
        <v>29</v>
      </c>
      <c r="E893" s="6">
        <v>1</v>
      </c>
      <c r="F893" s="6" t="s">
        <v>107</v>
      </c>
      <c r="G893" s="6" t="s">
        <v>104</v>
      </c>
      <c r="H893" s="6" t="s">
        <v>105</v>
      </c>
    </row>
    <row r="894" ht="14.25">
      <c r="A894" s="22">
        <v>46142</v>
      </c>
      <c r="B894" s="6">
        <v>3.7200000000000002</v>
      </c>
      <c r="C894" s="7" t="s">
        <v>28</v>
      </c>
      <c r="D894" s="7" t="s">
        <v>29</v>
      </c>
      <c r="E894" s="6">
        <v>1</v>
      </c>
      <c r="F894" s="6" t="s">
        <v>107</v>
      </c>
      <c r="G894" s="6" t="s">
        <v>104</v>
      </c>
      <c r="H894" s="6" t="s">
        <v>105</v>
      </c>
    </row>
    <row r="895" ht="14.25">
      <c r="A895" s="22">
        <v>46128</v>
      </c>
      <c r="B895" s="6">
        <v>5.0599999999999996</v>
      </c>
      <c r="C895" s="7" t="s">
        <v>30</v>
      </c>
      <c r="D895" s="7" t="s">
        <v>31</v>
      </c>
      <c r="E895" s="6">
        <v>1</v>
      </c>
      <c r="F895" s="6" t="s">
        <v>108</v>
      </c>
      <c r="G895" s="6" t="s">
        <v>104</v>
      </c>
      <c r="H895" s="6" t="s">
        <v>105</v>
      </c>
    </row>
    <row r="896" ht="14.25">
      <c r="A896" s="22">
        <v>46135</v>
      </c>
      <c r="B896" s="6">
        <v>4.75</v>
      </c>
      <c r="C896" s="7" t="s">
        <v>30</v>
      </c>
      <c r="D896" s="7" t="s">
        <v>31</v>
      </c>
      <c r="E896" s="6">
        <v>1</v>
      </c>
      <c r="F896" s="6" t="s">
        <v>108</v>
      </c>
      <c r="G896" s="6" t="s">
        <v>104</v>
      </c>
      <c r="H896" s="6" t="s">
        <v>105</v>
      </c>
    </row>
    <row r="897" ht="14.25">
      <c r="A897" s="22">
        <v>46142</v>
      </c>
      <c r="B897" s="6">
        <v>4.5599999999999996</v>
      </c>
      <c r="C897" s="7" t="s">
        <v>30</v>
      </c>
      <c r="D897" s="7" t="s">
        <v>31</v>
      </c>
      <c r="E897" s="6">
        <v>1</v>
      </c>
      <c r="F897" s="6" t="s">
        <v>108</v>
      </c>
      <c r="G897" s="6" t="s">
        <v>104</v>
      </c>
      <c r="H897" s="6" t="s">
        <v>105</v>
      </c>
    </row>
    <row r="898" ht="14.25">
      <c r="A898" s="22">
        <v>46128</v>
      </c>
      <c r="B898" s="6">
        <v>712</v>
      </c>
      <c r="C898" s="7" t="s">
        <v>16</v>
      </c>
      <c r="D898" s="7" t="s">
        <v>17</v>
      </c>
      <c r="E898" s="6">
        <v>1</v>
      </c>
      <c r="F898" s="6" t="s">
        <v>103</v>
      </c>
      <c r="G898" s="6" t="s">
        <v>104</v>
      </c>
      <c r="H898" s="6" t="s">
        <v>105</v>
      </c>
    </row>
    <row r="899" ht="14.25">
      <c r="A899" s="22">
        <v>46135</v>
      </c>
      <c r="B899" s="6">
        <v>662</v>
      </c>
      <c r="C899" s="7" t="s">
        <v>16</v>
      </c>
      <c r="D899" s="7" t="s">
        <v>17</v>
      </c>
      <c r="E899" s="6">
        <v>1</v>
      </c>
      <c r="F899" s="6" t="s">
        <v>103</v>
      </c>
      <c r="G899" s="6" t="s">
        <v>104</v>
      </c>
      <c r="H899" s="6" t="s">
        <v>105</v>
      </c>
    </row>
    <row r="900" ht="14.25">
      <c r="A900" s="22">
        <v>46142</v>
      </c>
      <c r="B900" s="6">
        <v>648</v>
      </c>
      <c r="C900" s="7" t="s">
        <v>16</v>
      </c>
      <c r="D900" s="7" t="s">
        <v>17</v>
      </c>
      <c r="E900" s="6">
        <v>1</v>
      </c>
      <c r="F900" s="6" t="s">
        <v>103</v>
      </c>
      <c r="G900" s="6" t="s">
        <v>104</v>
      </c>
      <c r="H900" s="6" t="s">
        <v>105</v>
      </c>
    </row>
    <row r="901" ht="14.25">
      <c r="A901" s="22">
        <v>46128</v>
      </c>
      <c r="B901" s="6">
        <v>1115</v>
      </c>
      <c r="C901" s="7" t="s">
        <v>18</v>
      </c>
      <c r="D901" s="7" t="s">
        <v>19</v>
      </c>
      <c r="E901" s="6">
        <v>1</v>
      </c>
      <c r="F901" s="6" t="s">
        <v>106</v>
      </c>
      <c r="G901" s="6" t="s">
        <v>104</v>
      </c>
      <c r="H901" s="6" t="s">
        <v>105</v>
      </c>
    </row>
    <row r="902" ht="14.25">
      <c r="A902" s="22">
        <v>46135</v>
      </c>
      <c r="B902" s="6">
        <v>960</v>
      </c>
      <c r="C902" s="7" t="s">
        <v>18</v>
      </c>
      <c r="D902" s="7" t="s">
        <v>19</v>
      </c>
      <c r="E902" s="6">
        <v>1</v>
      </c>
      <c r="F902" s="6" t="s">
        <v>106</v>
      </c>
      <c r="G902" s="6" t="s">
        <v>104</v>
      </c>
      <c r="H902" s="6" t="s">
        <v>105</v>
      </c>
    </row>
    <row r="903" ht="14.25">
      <c r="A903" s="22">
        <v>46142</v>
      </c>
      <c r="B903" s="6">
        <v>1104</v>
      </c>
      <c r="C903" s="7" t="s">
        <v>18</v>
      </c>
      <c r="D903" s="7" t="s">
        <v>19</v>
      </c>
      <c r="E903" s="6">
        <v>1</v>
      </c>
      <c r="F903" s="6" t="s">
        <v>106</v>
      </c>
      <c r="G903" s="6" t="s">
        <v>104</v>
      </c>
      <c r="H903" s="6" t="s">
        <v>105</v>
      </c>
    </row>
    <row r="904" ht="14.25">
      <c r="A904" s="22">
        <v>46128</v>
      </c>
      <c r="B904" s="6">
        <v>393</v>
      </c>
      <c r="C904" s="7" t="s">
        <v>82</v>
      </c>
      <c r="D904" s="7" t="s">
        <v>83</v>
      </c>
      <c r="E904" s="6">
        <v>3</v>
      </c>
      <c r="F904" s="6" t="s">
        <v>103</v>
      </c>
      <c r="G904" s="6" t="s">
        <v>104</v>
      </c>
      <c r="H904" s="6" t="s">
        <v>105</v>
      </c>
      <c r="I904" s="7"/>
      <c r="J904" s="7" t="s">
        <v>90</v>
      </c>
    </row>
    <row r="905" ht="14.25">
      <c r="A905" s="22">
        <v>46135</v>
      </c>
      <c r="B905" s="6">
        <v>367</v>
      </c>
      <c r="C905" s="7" t="s">
        <v>82</v>
      </c>
      <c r="D905" s="7" t="s">
        <v>83</v>
      </c>
      <c r="E905" s="6">
        <v>3</v>
      </c>
      <c r="F905" s="6" t="s">
        <v>103</v>
      </c>
      <c r="G905" s="6" t="s">
        <v>104</v>
      </c>
      <c r="H905" s="6" t="s">
        <v>105</v>
      </c>
      <c r="I905" s="7"/>
      <c r="J905" s="7" t="s">
        <v>90</v>
      </c>
    </row>
    <row r="906" ht="14.25">
      <c r="A906" s="22">
        <v>46142</v>
      </c>
      <c r="B906" s="6">
        <v>394</v>
      </c>
      <c r="C906" s="7" t="s">
        <v>82</v>
      </c>
      <c r="D906" s="7" t="s">
        <v>83</v>
      </c>
      <c r="E906" s="6">
        <v>3</v>
      </c>
      <c r="F906" s="6" t="s">
        <v>103</v>
      </c>
      <c r="G906" s="6" t="s">
        <v>104</v>
      </c>
      <c r="H906" s="6" t="s">
        <v>105</v>
      </c>
      <c r="I906" s="7"/>
      <c r="J906" s="7" t="s">
        <v>90</v>
      </c>
    </row>
    <row r="907" ht="14.25">
      <c r="A907" s="22">
        <v>46128</v>
      </c>
      <c r="B907" s="6">
        <v>550</v>
      </c>
      <c r="C907" s="7" t="s">
        <v>84</v>
      </c>
      <c r="D907" s="29" t="s">
        <v>85</v>
      </c>
      <c r="E907" s="6">
        <v>3</v>
      </c>
      <c r="F907" s="6" t="s">
        <v>106</v>
      </c>
      <c r="G907" s="6" t="s">
        <v>104</v>
      </c>
      <c r="H907" s="6" t="s">
        <v>105</v>
      </c>
      <c r="I907" s="7"/>
      <c r="J907" s="7" t="s">
        <v>90</v>
      </c>
    </row>
    <row r="908" ht="14.25">
      <c r="A908" s="22">
        <v>46135</v>
      </c>
      <c r="B908" s="6">
        <v>492</v>
      </c>
      <c r="C908" s="7" t="s">
        <v>84</v>
      </c>
      <c r="D908" s="29" t="s">
        <v>85</v>
      </c>
      <c r="E908" s="6">
        <v>3</v>
      </c>
      <c r="F908" s="6" t="s">
        <v>106</v>
      </c>
      <c r="G908" s="6" t="s">
        <v>104</v>
      </c>
      <c r="H908" s="6" t="s">
        <v>105</v>
      </c>
      <c r="I908" s="7"/>
      <c r="J908" s="7" t="s">
        <v>90</v>
      </c>
    </row>
    <row r="909" ht="14.25">
      <c r="A909" s="22">
        <v>46142</v>
      </c>
      <c r="B909" s="6">
        <v>531</v>
      </c>
      <c r="C909" s="7" t="s">
        <v>84</v>
      </c>
      <c r="D909" s="29" t="s">
        <v>85</v>
      </c>
      <c r="E909" s="6">
        <v>3</v>
      </c>
      <c r="F909" s="6" t="s">
        <v>106</v>
      </c>
      <c r="G909" s="6" t="s">
        <v>104</v>
      </c>
      <c r="H909" s="6" t="s">
        <v>105</v>
      </c>
      <c r="I909" s="7"/>
      <c r="J909" s="7" t="s">
        <v>90</v>
      </c>
    </row>
    <row r="910" ht="14.25">
      <c r="A910" s="22">
        <v>46128</v>
      </c>
      <c r="B910" s="6">
        <v>31.16</v>
      </c>
      <c r="C910" s="7" t="s">
        <v>34</v>
      </c>
      <c r="D910" s="7" t="s">
        <v>35</v>
      </c>
      <c r="E910" s="6">
        <v>3</v>
      </c>
      <c r="F910" s="6" t="s">
        <v>108</v>
      </c>
      <c r="G910" s="6" t="s">
        <v>104</v>
      </c>
      <c r="H910" s="6" t="s">
        <v>105</v>
      </c>
      <c r="I910" s="7"/>
      <c r="J910" s="7" t="s">
        <v>90</v>
      </c>
    </row>
    <row r="911" ht="14.25">
      <c r="A911" s="22">
        <v>46135</v>
      </c>
      <c r="B911" s="6">
        <v>28.66</v>
      </c>
      <c r="C911" s="7" t="s">
        <v>34</v>
      </c>
      <c r="D911" s="7" t="s">
        <v>35</v>
      </c>
      <c r="E911" s="6">
        <v>3</v>
      </c>
      <c r="F911" s="6" t="s">
        <v>108</v>
      </c>
      <c r="G911" s="6" t="s">
        <v>104</v>
      </c>
      <c r="H911" s="6" t="s">
        <v>105</v>
      </c>
      <c r="I911" s="7"/>
      <c r="J911" s="7" t="s">
        <v>90</v>
      </c>
    </row>
    <row r="912" ht="14.25">
      <c r="A912" s="22">
        <v>46142</v>
      </c>
      <c r="B912" s="6">
        <v>28.09</v>
      </c>
      <c r="C912" s="7" t="s">
        <v>34</v>
      </c>
      <c r="D912" s="7" t="s">
        <v>35</v>
      </c>
      <c r="E912" s="6">
        <v>3</v>
      </c>
      <c r="F912" s="6" t="s">
        <v>108</v>
      </c>
      <c r="G912" s="6" t="s">
        <v>104</v>
      </c>
      <c r="H912" s="6" t="s">
        <v>105</v>
      </c>
      <c r="I912" s="7"/>
      <c r="J912" s="7" t="s">
        <v>90</v>
      </c>
    </row>
    <row r="913" ht="14.25">
      <c r="A913" s="22">
        <v>46128</v>
      </c>
      <c r="B913" s="6">
        <v>1.99</v>
      </c>
      <c r="C913" s="7" t="s">
        <v>80</v>
      </c>
      <c r="D913" s="7" t="s">
        <v>81</v>
      </c>
      <c r="E913" s="6">
        <v>3</v>
      </c>
      <c r="F913" s="6" t="s">
        <v>104</v>
      </c>
      <c r="G913" s="6" t="s">
        <v>104</v>
      </c>
      <c r="H913" s="6" t="s">
        <v>105</v>
      </c>
      <c r="I913" s="7"/>
      <c r="J913" s="7" t="s">
        <v>90</v>
      </c>
    </row>
    <row r="914" ht="14.25">
      <c r="A914" s="22">
        <v>46135</v>
      </c>
      <c r="B914" s="6">
        <v>2.5600000000000001</v>
      </c>
      <c r="C914" s="7" t="s">
        <v>80</v>
      </c>
      <c r="D914" s="7" t="s">
        <v>81</v>
      </c>
      <c r="E914" s="6">
        <v>3</v>
      </c>
      <c r="F914" s="6" t="s">
        <v>104</v>
      </c>
      <c r="G914" s="6" t="s">
        <v>104</v>
      </c>
      <c r="H914" s="6" t="s">
        <v>105</v>
      </c>
      <c r="I914" s="7"/>
      <c r="J914" s="7" t="s">
        <v>90</v>
      </c>
    </row>
    <row r="915" ht="14.25">
      <c r="A915" s="22">
        <v>46142</v>
      </c>
      <c r="B915" s="6">
        <v>2.3999999999999999</v>
      </c>
      <c r="C915" s="7" t="s">
        <v>80</v>
      </c>
      <c r="D915" s="7" t="s">
        <v>81</v>
      </c>
      <c r="E915" s="6">
        <v>3</v>
      </c>
      <c r="F915" s="6" t="s">
        <v>104</v>
      </c>
      <c r="G915" s="6" t="s">
        <v>104</v>
      </c>
      <c r="H915" s="6" t="s">
        <v>105</v>
      </c>
      <c r="I915" s="7"/>
      <c r="J915" s="7" t="s">
        <v>90</v>
      </c>
    </row>
    <row r="916" ht="14.25">
      <c r="B916" s="6"/>
    </row>
  </sheetData>
  <autoFilter ref="A1:O91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selection activeCell="K37" activeCellId="0" sqref="K37"/>
    </sheetView>
  </sheetViews>
  <sheetFormatPr defaultRowHeight="14.25"/>
  <cols>
    <col customWidth="1" min="2" max="2" width="10.28515625"/>
  </cols>
  <sheetData>
    <row r="1" s="7" customFormat="1"/>
    <row r="3" ht="16.5">
      <c r="B3" s="30" t="s">
        <v>145</v>
      </c>
      <c r="C3" s="7"/>
    </row>
    <row r="4">
      <c r="B4" s="7"/>
      <c r="C4" s="7"/>
    </row>
    <row r="5">
      <c r="B5" s="31" t="s">
        <v>146</v>
      </c>
      <c r="C5" s="32" t="s">
        <v>147</v>
      </c>
    </row>
    <row r="6">
      <c r="B6" s="33" t="s">
        <v>148</v>
      </c>
      <c r="C6" s="32" t="s">
        <v>149</v>
      </c>
    </row>
    <row r="7">
      <c r="B7" s="34" t="s">
        <v>150</v>
      </c>
      <c r="C7" s="32" t="s">
        <v>151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3" activeCellId="0" sqref="B3:D8"/>
    </sheetView>
  </sheetViews>
  <sheetFormatPr defaultRowHeight="14.25"/>
  <cols>
    <col customWidth="1" min="2" max="2" width="31.5703125"/>
    <col customWidth="1" min="3" max="4" width="46.140625"/>
  </cols>
  <sheetData>
    <row r="2">
      <c r="B2" s="35" t="s">
        <v>152</v>
      </c>
      <c r="C2" s="36" t="s">
        <v>153</v>
      </c>
      <c r="D2" s="37" t="s">
        <v>154</v>
      </c>
    </row>
    <row r="3">
      <c r="B3" s="38"/>
      <c r="C3" s="39"/>
      <c r="D3" s="40"/>
    </row>
    <row r="4" s="7" customFormat="1">
      <c r="B4" s="41"/>
      <c r="C4" s="39"/>
      <c r="D4" s="40"/>
    </row>
    <row r="5" s="7" customFormat="1">
      <c r="B5" s="42"/>
      <c r="C5" s="39"/>
      <c r="D5" s="40"/>
    </row>
    <row r="6" s="7" customFormat="1" ht="39.75" customHeight="1">
      <c r="B6" s="42"/>
      <c r="C6" s="39"/>
      <c r="D6" s="40"/>
    </row>
    <row r="7" s="7" customFormat="1" ht="55.5" customHeight="1">
      <c r="B7" s="43"/>
      <c r="C7" s="39"/>
      <c r="D7" s="40"/>
    </row>
    <row r="8">
      <c r="B8" s="43"/>
      <c r="C8" s="39"/>
      <c r="D8" s="40"/>
    </row>
    <row r="9">
      <c r="B9" s="43"/>
      <c r="C9" s="39"/>
      <c r="D9" s="40"/>
    </row>
    <row r="10">
      <c r="B10" s="43"/>
      <c r="C10" s="39"/>
      <c r="D10" s="40"/>
    </row>
    <row r="11">
      <c r="B11" s="43"/>
      <c r="C11" s="39"/>
      <c r="D11" s="40"/>
    </row>
    <row r="12">
      <c r="B12" s="7"/>
      <c r="C12" s="7"/>
      <c r="D12" s="7"/>
    </row>
  </sheetData>
  <mergeCells count="1">
    <mergeCell ref="B3:B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showGridLines="0" showRuler="1" zoomScale="100" workbookViewId="0">
      <pane xSplit="3" ySplit="2" topLeftCell="D3" activePane="bottomRight" state="frozen"/>
      <selection activeCell="B3" activeCellId="0" sqref="B3:L22"/>
    </sheetView>
  </sheetViews>
  <sheetFormatPr defaultRowHeight="14.25"/>
  <cols>
    <col min="1" max="1" style="44" width="9.140625"/>
    <col customWidth="1" min="2" max="2" style="45" width="28"/>
    <col customWidth="1" min="3" max="3" style="45" width="17.5703125"/>
    <col customWidth="1" min="4" max="4" style="45" width="23.85546875"/>
    <col customWidth="1" min="5" max="5" style="45" width="18.28515625"/>
    <col customWidth="1" min="6" max="6" width="16.85546875"/>
    <col customWidth="1" min="7" max="7" style="46" width="14.5703125"/>
    <col customWidth="1" min="8" max="8" width="14.5703125"/>
    <col customWidth="1" min="9" max="9" width="46"/>
    <col customWidth="1" min="10" max="10" style="7" width="55.140625"/>
    <col customWidth="1" min="11" max="11" style="7" width="21.5703125"/>
    <col customWidth="1" min="12" max="12" width="42.140625"/>
  </cols>
  <sheetData>
    <row r="1" ht="19.5" customHeight="1"/>
    <row r="2" ht="49.5">
      <c r="B2" s="47" t="s">
        <v>155</v>
      </c>
      <c r="C2" s="47" t="s">
        <v>156</v>
      </c>
      <c r="D2" s="47" t="s">
        <v>157</v>
      </c>
      <c r="E2" s="48" t="s">
        <v>158</v>
      </c>
      <c r="F2" s="47" t="s">
        <v>159</v>
      </c>
      <c r="G2" s="47" t="s">
        <v>160</v>
      </c>
      <c r="H2" s="47" t="s">
        <v>99</v>
      </c>
      <c r="I2" s="49" t="s">
        <v>161</v>
      </c>
      <c r="J2" s="50" t="s">
        <v>162</v>
      </c>
      <c r="K2" s="50" t="s">
        <v>163</v>
      </c>
      <c r="L2" s="47" t="s">
        <v>164</v>
      </c>
    </row>
    <row r="3" ht="28.5">
      <c r="A3" s="51" t="s">
        <v>165</v>
      </c>
      <c r="B3" s="52"/>
      <c r="C3" s="53"/>
      <c r="D3" s="54"/>
      <c r="E3" s="55"/>
      <c r="F3" s="56"/>
      <c r="G3" s="57"/>
      <c r="H3" s="58"/>
      <c r="I3" s="52"/>
      <c r="J3" s="28"/>
      <c r="K3" s="59"/>
      <c r="L3" s="56"/>
    </row>
    <row r="4" s="60" customFormat="1">
      <c r="A4" s="61"/>
      <c r="B4" s="62"/>
      <c r="C4" s="53"/>
      <c r="D4" s="54"/>
      <c r="E4" s="55"/>
      <c r="F4" s="56"/>
      <c r="G4" s="63"/>
      <c r="H4" s="64"/>
      <c r="I4" s="65"/>
      <c r="J4" s="59"/>
      <c r="K4" s="66"/>
      <c r="L4" s="67"/>
    </row>
    <row r="5" s="60" customFormat="1" ht="28.5">
      <c r="A5" s="68" t="s">
        <v>165</v>
      </c>
      <c r="B5" s="69"/>
      <c r="C5" s="64"/>
      <c r="D5" s="54"/>
      <c r="E5" s="55"/>
      <c r="F5" s="56"/>
      <c r="G5" s="63"/>
      <c r="H5" s="64"/>
      <c r="I5" s="59"/>
      <c r="J5" s="59"/>
      <c r="K5" s="59"/>
      <c r="L5" s="70"/>
    </row>
    <row r="6" s="60" customFormat="1" ht="28.5">
      <c r="A6" s="71" t="s">
        <v>166</v>
      </c>
      <c r="B6" s="69"/>
      <c r="C6" s="64"/>
      <c r="D6" s="54"/>
      <c r="E6" s="55"/>
      <c r="F6" s="56"/>
      <c r="G6" s="63"/>
      <c r="H6" s="64"/>
      <c r="I6" s="59"/>
      <c r="J6" s="59"/>
      <c r="K6" s="59"/>
      <c r="L6" s="70"/>
    </row>
    <row r="7" s="60" customFormat="1" ht="28.5">
      <c r="A7" s="51" t="s">
        <v>165</v>
      </c>
      <c r="B7" s="59"/>
      <c r="C7" s="72"/>
      <c r="D7" s="54"/>
      <c r="E7" s="55"/>
      <c r="F7" s="56"/>
      <c r="G7" s="63"/>
      <c r="H7" s="64"/>
      <c r="I7" s="73"/>
      <c r="J7" s="73"/>
      <c r="K7" s="73"/>
      <c r="L7" s="74"/>
    </row>
    <row r="8" s="60" customFormat="1" ht="28.5">
      <c r="A8" s="51" t="s">
        <v>165</v>
      </c>
      <c r="B8" s="59"/>
      <c r="C8" s="75"/>
      <c r="D8" s="54"/>
      <c r="E8" s="55"/>
      <c r="F8" s="56"/>
      <c r="G8" s="63"/>
      <c r="H8" s="64"/>
      <c r="I8" s="59"/>
      <c r="J8" s="59"/>
      <c r="K8" s="59"/>
      <c r="L8" s="74"/>
    </row>
    <row r="9" s="76" customFormat="1" ht="28.5">
      <c r="A9" s="51" t="s">
        <v>165</v>
      </c>
      <c r="B9" s="77"/>
      <c r="C9" s="75"/>
      <c r="D9" s="54"/>
      <c r="E9" s="55"/>
      <c r="F9" s="56"/>
      <c r="G9" s="63"/>
      <c r="H9" s="64"/>
      <c r="I9" s="78"/>
      <c r="J9" s="59"/>
      <c r="K9" s="78"/>
      <c r="L9" s="79"/>
    </row>
    <row r="10" s="76" customFormat="1" ht="28.5">
      <c r="A10" s="51" t="s">
        <v>165</v>
      </c>
      <c r="B10" s="77"/>
      <c r="C10" s="75"/>
      <c r="D10" s="54"/>
      <c r="E10" s="55"/>
      <c r="F10" s="56"/>
      <c r="G10" s="63"/>
      <c r="H10" s="64"/>
      <c r="I10" s="77"/>
      <c r="J10" s="59"/>
      <c r="K10" s="77"/>
      <c r="L10" s="79"/>
    </row>
    <row r="11" s="76" customFormat="1">
      <c r="A11" s="80"/>
      <c r="B11" s="77"/>
      <c r="C11" s="75"/>
      <c r="D11" s="54"/>
      <c r="E11" s="55"/>
      <c r="F11" s="56"/>
      <c r="G11" s="63"/>
      <c r="H11" s="64"/>
      <c r="I11" s="77"/>
      <c r="J11" s="77"/>
      <c r="K11" s="77"/>
      <c r="L11" s="79"/>
    </row>
    <row r="12" s="76" customFormat="1">
      <c r="A12" s="80"/>
      <c r="B12" s="77"/>
      <c r="C12" s="75"/>
      <c r="D12" s="54"/>
      <c r="E12" s="55"/>
      <c r="F12" s="56"/>
      <c r="G12" s="63"/>
      <c r="H12" s="64"/>
      <c r="I12" s="77"/>
      <c r="J12" s="77"/>
      <c r="K12" s="77"/>
      <c r="L12" s="79"/>
    </row>
    <row r="13" s="76" customFormat="1">
      <c r="A13" s="80"/>
      <c r="B13" s="77"/>
      <c r="C13" s="75"/>
      <c r="D13" s="54"/>
      <c r="E13" s="55"/>
      <c r="F13" s="56"/>
      <c r="G13" s="63"/>
      <c r="H13" s="64"/>
      <c r="I13" s="77"/>
      <c r="J13" s="77"/>
      <c r="K13" s="77"/>
      <c r="L13" s="79"/>
    </row>
    <row r="14" s="76" customFormat="1">
      <c r="A14" s="80"/>
      <c r="B14" s="77"/>
      <c r="C14" s="75"/>
      <c r="D14" s="54"/>
      <c r="E14" s="55"/>
      <c r="F14" s="56"/>
      <c r="G14" s="63"/>
      <c r="H14" s="64"/>
      <c r="I14" s="77"/>
      <c r="J14" s="77"/>
      <c r="K14" s="77"/>
      <c r="L14" s="79"/>
    </row>
    <row r="15" s="76" customFormat="1">
      <c r="A15" s="80"/>
      <c r="B15" s="77"/>
      <c r="C15" s="75"/>
      <c r="D15" s="54"/>
      <c r="E15" s="55"/>
      <c r="F15" s="56"/>
      <c r="G15" s="63"/>
      <c r="H15" s="64"/>
      <c r="I15" s="77"/>
      <c r="J15" s="77"/>
      <c r="K15" s="77"/>
      <c r="L15" s="79"/>
    </row>
    <row r="16" s="76" customFormat="1" ht="28.5">
      <c r="A16" s="51" t="s">
        <v>165</v>
      </c>
      <c r="B16" s="77"/>
      <c r="C16" s="75"/>
      <c r="D16" s="54"/>
      <c r="E16" s="55"/>
      <c r="F16" s="56"/>
      <c r="G16" s="63"/>
      <c r="H16" s="64"/>
      <c r="I16" s="77"/>
      <c r="J16" s="59"/>
      <c r="K16" s="77"/>
      <c r="L16" s="79"/>
    </row>
    <row r="17" s="76" customFormat="1">
      <c r="A17" s="51"/>
      <c r="B17" s="77"/>
      <c r="C17" s="75"/>
      <c r="D17" s="54"/>
      <c r="E17" s="55"/>
      <c r="F17" s="56"/>
      <c r="G17" s="63"/>
      <c r="H17" s="64"/>
      <c r="I17" s="77"/>
      <c r="J17" s="77"/>
      <c r="K17" s="77"/>
      <c r="L17" s="79"/>
    </row>
    <row r="18" s="76" customFormat="1" ht="28.5">
      <c r="A18" s="51" t="s">
        <v>165</v>
      </c>
      <c r="B18" s="77"/>
      <c r="C18" s="75"/>
      <c r="D18" s="54"/>
      <c r="E18" s="55"/>
      <c r="F18" s="56"/>
      <c r="G18" s="63"/>
      <c r="H18" s="64"/>
      <c r="I18" s="77"/>
      <c r="J18" s="59"/>
      <c r="K18" s="77"/>
      <c r="L18" s="79"/>
    </row>
    <row r="19" s="76" customFormat="1">
      <c r="A19" s="80"/>
      <c r="B19" s="77"/>
      <c r="C19" s="75"/>
      <c r="D19" s="54"/>
      <c r="E19" s="55"/>
      <c r="F19" s="56"/>
      <c r="G19" s="63"/>
      <c r="H19" s="64"/>
      <c r="I19" s="77"/>
      <c r="J19" s="77"/>
      <c r="K19" s="77"/>
      <c r="L19" s="79"/>
    </row>
    <row r="20" s="76" customFormat="1">
      <c r="A20" s="80"/>
      <c r="B20" s="81"/>
      <c r="C20" s="82"/>
      <c r="D20" s="83"/>
      <c r="E20" s="84"/>
      <c r="F20" s="58"/>
      <c r="G20" s="85"/>
      <c r="H20" s="86"/>
      <c r="I20" s="81"/>
      <c r="J20" s="81"/>
      <c r="K20" s="81"/>
      <c r="L20" s="79"/>
    </row>
    <row r="21" s="76" customFormat="1">
      <c r="A21" s="80"/>
      <c r="B21" s="74"/>
      <c r="C21" s="75"/>
      <c r="D21" s="87"/>
      <c r="E21" s="88"/>
      <c r="F21" s="89"/>
      <c r="G21" s="85"/>
      <c r="H21" s="64"/>
      <c r="I21" s="74"/>
      <c r="J21" s="74"/>
      <c r="K21" s="74"/>
      <c r="L21" s="74"/>
    </row>
    <row r="22" s="76" customFormat="1" ht="73.5" customHeight="1">
      <c r="A22" s="80"/>
      <c r="B22" s="77"/>
      <c r="C22" s="75"/>
      <c r="D22" s="87"/>
      <c r="E22" s="88"/>
      <c r="F22" s="90"/>
      <c r="G22" s="91"/>
      <c r="H22" s="64"/>
      <c r="I22" s="74"/>
      <c r="J22" s="77"/>
      <c r="K22" s="92"/>
      <c r="L22" s="74"/>
    </row>
    <row r="23" s="76" customFormat="1">
      <c r="A23" s="80"/>
      <c r="B23" s="27"/>
      <c r="C23" s="27"/>
      <c r="D23" s="27"/>
      <c r="E23" s="27"/>
      <c r="G23" s="93"/>
    </row>
    <row r="24" s="76" customFormat="1">
      <c r="A24" s="80"/>
      <c r="B24" s="27"/>
      <c r="C24" s="27"/>
      <c r="D24" s="27"/>
      <c r="E24" s="27"/>
      <c r="G24" s="93"/>
    </row>
    <row r="25" s="76" customFormat="1">
      <c r="A25" s="80"/>
      <c r="B25" s="27"/>
      <c r="C25" s="27"/>
      <c r="D25" s="27"/>
      <c r="E25" s="27"/>
      <c r="G25" s="93"/>
    </row>
    <row r="26" s="76" customFormat="1">
      <c r="A26" s="80"/>
      <c r="B26" s="27"/>
      <c r="C26" s="27"/>
      <c r="D26" s="27"/>
      <c r="E26" s="27"/>
      <c r="G26" s="93"/>
    </row>
    <row r="27" s="76" customFormat="1">
      <c r="A27" s="80"/>
      <c r="B27" s="27"/>
      <c r="C27" s="27"/>
      <c r="D27" s="27"/>
      <c r="E27" s="27"/>
      <c r="G27" s="93"/>
    </row>
    <row r="28" s="76" customFormat="1">
      <c r="A28" s="80"/>
      <c r="B28" s="27"/>
      <c r="C28" s="27"/>
      <c r="D28" s="27"/>
      <c r="E28" s="27"/>
      <c r="G28" s="93"/>
    </row>
    <row r="29" s="76" customFormat="1">
      <c r="A29" s="80"/>
      <c r="B29" s="27"/>
      <c r="C29" s="27"/>
      <c r="D29" s="27"/>
      <c r="E29" s="27"/>
      <c r="G29" s="93"/>
    </row>
    <row r="30" s="76" customFormat="1">
      <c r="A30" s="80"/>
      <c r="B30" s="27"/>
      <c r="C30" s="27"/>
      <c r="D30" s="27"/>
      <c r="E30" s="27"/>
      <c r="G30" s="93"/>
    </row>
    <row r="31" s="76" customFormat="1">
      <c r="A31" s="80"/>
      <c r="B31" s="27"/>
      <c r="C31" s="27"/>
      <c r="D31" s="27"/>
      <c r="E31" s="27"/>
      <c r="G31" s="93"/>
    </row>
    <row r="32" s="76" customFormat="1">
      <c r="A32" s="80"/>
      <c r="B32" s="27"/>
      <c r="C32" s="27"/>
      <c r="D32" s="27"/>
      <c r="E32" s="27"/>
      <c r="G32" s="93"/>
    </row>
    <row r="33" s="76" customFormat="1">
      <c r="A33" s="80"/>
      <c r="B33" s="27"/>
      <c r="C33" s="27"/>
      <c r="D33" s="27"/>
      <c r="E33" s="27"/>
      <c r="G33" s="93"/>
    </row>
    <row r="34" s="76" customFormat="1">
      <c r="A34" s="80"/>
      <c r="B34" s="27"/>
      <c r="C34" s="27"/>
      <c r="D34" s="27"/>
      <c r="E34" s="27"/>
      <c r="G34" s="93"/>
    </row>
    <row r="35" s="76" customFormat="1">
      <c r="A35" s="80"/>
      <c r="B35" s="27"/>
      <c r="C35" s="27"/>
      <c r="D35" s="27"/>
      <c r="E35" s="27"/>
      <c r="G35" s="93"/>
    </row>
    <row r="36" s="76" customFormat="1">
      <c r="A36" s="80"/>
      <c r="B36" s="27"/>
      <c r="C36" s="27"/>
      <c r="D36" s="27"/>
      <c r="E36" s="27"/>
      <c r="G36" s="93"/>
    </row>
    <row r="37" s="76" customFormat="1">
      <c r="A37" s="80"/>
      <c r="B37" s="27"/>
      <c r="C37" s="27"/>
      <c r="D37" s="27"/>
      <c r="E37" s="27"/>
      <c r="G37" s="93"/>
    </row>
    <row r="38" s="76" customFormat="1">
      <c r="A38" s="80"/>
      <c r="B38" s="27"/>
      <c r="C38" s="27"/>
      <c r="D38" s="27"/>
      <c r="E38" s="27"/>
      <c r="G38" s="93"/>
    </row>
    <row r="39" s="76" customFormat="1">
      <c r="A39" s="80"/>
      <c r="B39" s="27"/>
      <c r="C39" s="27"/>
      <c r="D39" s="27"/>
      <c r="E39" s="27"/>
      <c r="G39" s="93"/>
    </row>
    <row r="40" s="76" customFormat="1">
      <c r="A40" s="80"/>
      <c r="B40" s="27"/>
      <c r="C40" s="27"/>
      <c r="D40" s="27"/>
      <c r="E40" s="27"/>
      <c r="G40" s="93"/>
    </row>
    <row r="41" s="76" customFormat="1">
      <c r="A41" s="80"/>
      <c r="B41" s="27"/>
      <c r="C41" s="27"/>
      <c r="D41" s="27"/>
      <c r="E41" s="27"/>
      <c r="G41" s="9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33" activeCellId="0" sqref="B33"/>
    </sheetView>
  </sheetViews>
  <sheetFormatPr defaultRowHeight="14.25"/>
  <cols>
    <col customWidth="1" min="1" max="1" width="12.140625"/>
    <col customWidth="1" min="2" max="2" width="106.7109375"/>
    <col customWidth="1" min="3" max="3" width="17"/>
  </cols>
  <sheetData>
    <row r="1" ht="30">
      <c r="A1" s="94" t="s">
        <v>167</v>
      </c>
      <c r="B1" s="94" t="s">
        <v>168</v>
      </c>
      <c r="C1" s="95" t="s">
        <v>169</v>
      </c>
    </row>
    <row r="2">
      <c r="A2" s="96">
        <v>1</v>
      </c>
      <c r="B2" s="97" t="s">
        <v>170</v>
      </c>
      <c r="C2" s="96" t="s">
        <v>171</v>
      </c>
    </row>
    <row r="3">
      <c r="A3" s="98">
        <v>2</v>
      </c>
      <c r="B3" s="99" t="s">
        <v>172</v>
      </c>
      <c r="C3" s="98" t="s">
        <v>171</v>
      </c>
    </row>
    <row r="4">
      <c r="A4" s="96">
        <v>3</v>
      </c>
      <c r="B4" s="97" t="s">
        <v>173</v>
      </c>
      <c r="C4" s="96" t="s">
        <v>171</v>
      </c>
    </row>
    <row r="5">
      <c r="A5" s="98">
        <v>4</v>
      </c>
      <c r="B5" s="99" t="s">
        <v>174</v>
      </c>
      <c r="C5" s="98"/>
    </row>
    <row r="6">
      <c r="A6" s="96">
        <v>5</v>
      </c>
      <c r="B6" s="97" t="s">
        <v>175</v>
      </c>
      <c r="C6" s="96" t="s">
        <v>171</v>
      </c>
    </row>
    <row r="7">
      <c r="A7" s="98">
        <v>6</v>
      </c>
      <c r="B7" s="99" t="s">
        <v>176</v>
      </c>
      <c r="C7" s="98"/>
    </row>
    <row r="8">
      <c r="A8" s="96">
        <v>8</v>
      </c>
      <c r="B8" s="97" t="s">
        <v>177</v>
      </c>
      <c r="C8" s="96" t="s">
        <v>171</v>
      </c>
    </row>
    <row r="9">
      <c r="A9" s="98">
        <v>9</v>
      </c>
      <c r="B9" s="99" t="s">
        <v>178</v>
      </c>
      <c r="C9" s="98"/>
    </row>
    <row r="10">
      <c r="A10" s="96">
        <v>10</v>
      </c>
      <c r="B10" s="97" t="s">
        <v>179</v>
      </c>
      <c r="C10" s="96" t="s">
        <v>171</v>
      </c>
    </row>
    <row r="11">
      <c r="A11" s="98">
        <v>11</v>
      </c>
      <c r="B11" s="99" t="s">
        <v>180</v>
      </c>
      <c r="C11" s="98" t="s">
        <v>171</v>
      </c>
    </row>
    <row r="12">
      <c r="A12" s="96">
        <v>12</v>
      </c>
      <c r="B12" s="97" t="s">
        <v>181</v>
      </c>
      <c r="C12" s="96" t="s">
        <v>171</v>
      </c>
    </row>
    <row r="13">
      <c r="A13" s="98">
        <v>13</v>
      </c>
      <c r="B13" s="99" t="s">
        <v>182</v>
      </c>
      <c r="C13" s="98" t="s">
        <v>171</v>
      </c>
    </row>
    <row r="14">
      <c r="A14" s="96">
        <v>14</v>
      </c>
      <c r="B14" s="97" t="s">
        <v>183</v>
      </c>
      <c r="C14" s="96" t="s">
        <v>171</v>
      </c>
    </row>
    <row r="15">
      <c r="A15" s="98">
        <v>15</v>
      </c>
      <c r="B15" s="99" t="s">
        <v>184</v>
      </c>
      <c r="C15" s="98"/>
    </row>
    <row r="16">
      <c r="A16" s="96">
        <v>16</v>
      </c>
      <c r="B16" s="97" t="s">
        <v>185</v>
      </c>
      <c r="C16" s="96"/>
    </row>
    <row r="17">
      <c r="A17" s="98">
        <v>17</v>
      </c>
      <c r="B17" s="99" t="s">
        <v>186</v>
      </c>
      <c r="C17" s="98"/>
    </row>
    <row r="18">
      <c r="A18" s="96">
        <v>18</v>
      </c>
      <c r="B18" s="97" t="s">
        <v>187</v>
      </c>
      <c r="C18" s="96" t="s">
        <v>171</v>
      </c>
    </row>
    <row r="19">
      <c r="A19" s="98">
        <v>19</v>
      </c>
      <c r="B19" s="99" t="s">
        <v>188</v>
      </c>
      <c r="C19" s="98" t="s">
        <v>171</v>
      </c>
    </row>
    <row r="20">
      <c r="A20" s="96">
        <v>21</v>
      </c>
      <c r="B20" s="97" t="s">
        <v>189</v>
      </c>
      <c r="C20" s="96" t="s">
        <v>171</v>
      </c>
    </row>
    <row r="21">
      <c r="A21" s="98">
        <v>22</v>
      </c>
      <c r="B21" s="99" t="s">
        <v>190</v>
      </c>
      <c r="C21" s="98" t="s">
        <v>171</v>
      </c>
    </row>
    <row r="22">
      <c r="A22" s="96">
        <v>23</v>
      </c>
      <c r="B22" s="97" t="s">
        <v>191</v>
      </c>
      <c r="C22" s="96" t="s">
        <v>171</v>
      </c>
    </row>
    <row r="23">
      <c r="A23" s="98">
        <v>24</v>
      </c>
      <c r="B23" s="99" t="s">
        <v>192</v>
      </c>
      <c r="C23" s="98" t="s">
        <v>171</v>
      </c>
    </row>
    <row r="24">
      <c r="A24" s="96">
        <v>27</v>
      </c>
      <c r="B24" s="97" t="s">
        <v>193</v>
      </c>
      <c r="C24" s="96" t="s">
        <v>171</v>
      </c>
    </row>
    <row r="25">
      <c r="A25" s="98">
        <v>28</v>
      </c>
      <c r="B25" s="99" t="s">
        <v>194</v>
      </c>
      <c r="C25" s="98" t="s">
        <v>171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9" activeCellId="0" sqref="F29"/>
    </sheetView>
  </sheetViews>
  <sheetFormatPr defaultRowHeight="14.25"/>
  <cols>
    <col customWidth="1" min="1" max="1" style="6" width="12.8515625"/>
    <col customWidth="1" min="2" max="2" style="100" width="12.57421875"/>
    <col customWidth="1" min="3" max="3" style="100" width="12.7109375"/>
    <col customWidth="1" min="4" max="4" width="24.421875"/>
  </cols>
  <sheetData>
    <row r="1">
      <c r="A1" s="101" t="s">
        <v>195</v>
      </c>
      <c r="B1" s="102" t="s">
        <v>196</v>
      </c>
      <c r="C1" s="102" t="s">
        <v>197</v>
      </c>
    </row>
    <row r="2" ht="14.25">
      <c r="A2" s="103">
        <v>45876</v>
      </c>
      <c r="B2" s="104">
        <v>0.39000000000000001</v>
      </c>
      <c r="C2" s="104">
        <v>0.5</v>
      </c>
      <c r="D2" s="105" t="s">
        <v>198</v>
      </c>
      <c r="E2">
        <f t="shared" ref="E2:E9" si="0">B2*100</f>
        <v>39</v>
      </c>
      <c r="F2" s="106">
        <v>50</v>
      </c>
    </row>
    <row r="3" ht="14.25">
      <c r="A3" s="103">
        <v>45883</v>
      </c>
      <c r="B3" s="104">
        <v>0.37</v>
      </c>
      <c r="C3" s="104">
        <v>0.47999999999999998</v>
      </c>
      <c r="D3" s="105" t="s">
        <v>199</v>
      </c>
      <c r="E3">
        <f t="shared" si="0"/>
        <v>37</v>
      </c>
      <c r="F3" s="106">
        <v>48</v>
      </c>
    </row>
    <row r="4" ht="14.25">
      <c r="A4" s="103">
        <v>45890</v>
      </c>
      <c r="B4" s="104">
        <v>0.38</v>
      </c>
      <c r="C4" s="104">
        <v>0.48999999999999999</v>
      </c>
      <c r="D4" s="105" t="s">
        <v>200</v>
      </c>
      <c r="E4">
        <f t="shared" si="0"/>
        <v>38</v>
      </c>
      <c r="F4" s="106">
        <v>49</v>
      </c>
    </row>
    <row r="5" ht="14.25">
      <c r="A5" s="103">
        <v>45897</v>
      </c>
      <c r="B5" s="104">
        <v>0.38</v>
      </c>
      <c r="C5" s="104">
        <v>0.47999999999999998</v>
      </c>
      <c r="D5" s="105" t="s">
        <v>201</v>
      </c>
      <c r="E5">
        <f t="shared" si="0"/>
        <v>38</v>
      </c>
      <c r="F5" s="106">
        <v>48</v>
      </c>
    </row>
    <row r="6" ht="14.25">
      <c r="A6" s="103">
        <v>45904</v>
      </c>
      <c r="B6" s="104">
        <v>0.38</v>
      </c>
      <c r="C6" s="104">
        <v>0.47999999999999998</v>
      </c>
      <c r="D6" s="105" t="s">
        <v>202</v>
      </c>
      <c r="E6">
        <f t="shared" si="0"/>
        <v>38</v>
      </c>
      <c r="F6" s="106">
        <v>48</v>
      </c>
    </row>
    <row r="7" ht="14.25">
      <c r="A7" s="103">
        <v>45911</v>
      </c>
      <c r="B7" s="104">
        <v>0.37</v>
      </c>
      <c r="C7" s="104">
        <v>0.47999999999999998</v>
      </c>
      <c r="D7" s="105" t="s">
        <v>203</v>
      </c>
      <c r="E7">
        <f t="shared" si="0"/>
        <v>37</v>
      </c>
      <c r="F7" s="106">
        <v>48</v>
      </c>
    </row>
    <row r="8" ht="14.25">
      <c r="A8" s="103">
        <v>45918</v>
      </c>
      <c r="B8" s="104">
        <v>0.40999999999999998</v>
      </c>
      <c r="C8" s="104">
        <v>0.48999999999999999</v>
      </c>
      <c r="D8" s="105" t="s">
        <v>204</v>
      </c>
      <c r="E8">
        <f t="shared" si="0"/>
        <v>41</v>
      </c>
      <c r="F8" s="106">
        <v>49</v>
      </c>
    </row>
    <row r="9" ht="14.25">
      <c r="A9" s="103">
        <v>45925</v>
      </c>
      <c r="B9" s="104">
        <v>0.40999999999999998</v>
      </c>
      <c r="C9" s="104">
        <v>0.5</v>
      </c>
      <c r="D9" s="105" t="s">
        <v>205</v>
      </c>
      <c r="E9">
        <f t="shared" si="0"/>
        <v>41</v>
      </c>
      <c r="F9" s="106">
        <v>50</v>
      </c>
    </row>
    <row r="10" ht="14.25">
      <c r="A10" s="103">
        <v>45932</v>
      </c>
      <c r="B10" s="104">
        <v>0.42999999999999999</v>
      </c>
      <c r="C10" s="104">
        <v>0.53000000000000003</v>
      </c>
      <c r="D10" s="105" t="s">
        <v>206</v>
      </c>
      <c r="E10">
        <f t="shared" ref="E10:E33" si="1">B10*100</f>
        <v>43</v>
      </c>
      <c r="F10" s="106">
        <v>53</v>
      </c>
    </row>
    <row r="11" ht="14.25">
      <c r="A11" s="103">
        <v>45939</v>
      </c>
      <c r="B11" s="104">
        <v>0.45000000000000001</v>
      </c>
      <c r="C11" s="104">
        <v>0.52000000000000002</v>
      </c>
      <c r="D11" s="105" t="s">
        <v>207</v>
      </c>
      <c r="E11">
        <f t="shared" si="1"/>
        <v>45</v>
      </c>
      <c r="F11" s="106">
        <v>52</v>
      </c>
    </row>
    <row r="12" ht="14.25">
      <c r="A12" s="103">
        <v>45946</v>
      </c>
      <c r="B12" s="104">
        <v>0.42999999999999999</v>
      </c>
      <c r="C12" s="104">
        <v>0.51000000000000001</v>
      </c>
      <c r="D12" s="105" t="s">
        <v>208</v>
      </c>
      <c r="E12">
        <f t="shared" si="1"/>
        <v>43</v>
      </c>
      <c r="F12" s="106">
        <v>51</v>
      </c>
    </row>
    <row r="13" ht="14.25">
      <c r="A13" s="103">
        <v>45953</v>
      </c>
      <c r="B13" s="104">
        <v>0.44</v>
      </c>
      <c r="C13" s="104">
        <v>0.51000000000000001</v>
      </c>
      <c r="D13" s="105" t="s">
        <v>209</v>
      </c>
      <c r="E13">
        <f t="shared" si="1"/>
        <v>44</v>
      </c>
      <c r="F13" s="106">
        <v>51</v>
      </c>
    </row>
    <row r="14" ht="14.25">
      <c r="A14" s="103">
        <v>45960</v>
      </c>
      <c r="B14" s="104">
        <v>0.42999999999999999</v>
      </c>
      <c r="C14" s="104">
        <v>0.51000000000000001</v>
      </c>
      <c r="D14" s="105" t="s">
        <v>210</v>
      </c>
      <c r="E14">
        <f t="shared" si="1"/>
        <v>43</v>
      </c>
      <c r="F14" s="106">
        <v>51</v>
      </c>
    </row>
    <row r="15" ht="14.25">
      <c r="A15" s="103">
        <v>45967</v>
      </c>
      <c r="B15" s="104">
        <v>0.40000000000000002</v>
      </c>
      <c r="C15" s="104">
        <v>0.47999999999999998</v>
      </c>
      <c r="D15" s="105" t="s">
        <v>211</v>
      </c>
      <c r="E15">
        <f t="shared" si="1"/>
        <v>40</v>
      </c>
      <c r="F15" s="106">
        <v>48</v>
      </c>
    </row>
    <row r="16" ht="14.25">
      <c r="A16" s="103">
        <v>45974</v>
      </c>
      <c r="B16" s="104">
        <v>0.41999999999999998</v>
      </c>
      <c r="C16" s="104">
        <v>0.48999999999999999</v>
      </c>
      <c r="D16" s="105" t="s">
        <v>212</v>
      </c>
      <c r="E16">
        <f t="shared" si="1"/>
        <v>42</v>
      </c>
      <c r="F16" s="106">
        <v>49</v>
      </c>
    </row>
    <row r="17" ht="14.25">
      <c r="A17" s="103">
        <v>45981</v>
      </c>
      <c r="B17" s="104">
        <v>0.44</v>
      </c>
      <c r="C17" s="104">
        <v>0.51000000000000001</v>
      </c>
      <c r="D17" s="105" t="s">
        <v>213</v>
      </c>
      <c r="E17">
        <f t="shared" si="1"/>
        <v>44</v>
      </c>
      <c r="F17" s="106">
        <v>51</v>
      </c>
    </row>
    <row r="18" ht="14.25">
      <c r="A18" s="103">
        <v>45988</v>
      </c>
      <c r="B18" s="104">
        <v>0.42999999999999999</v>
      </c>
      <c r="C18" s="104">
        <v>0.51000000000000001</v>
      </c>
      <c r="D18" s="105" t="s">
        <v>214</v>
      </c>
      <c r="E18">
        <f t="shared" si="1"/>
        <v>43</v>
      </c>
      <c r="F18" s="106">
        <v>51</v>
      </c>
    </row>
    <row r="19" ht="14.25">
      <c r="A19" s="103">
        <v>45995</v>
      </c>
      <c r="B19" s="104">
        <v>0.42999999999999999</v>
      </c>
      <c r="C19" s="104">
        <v>0.51000000000000001</v>
      </c>
      <c r="D19" s="107" t="s">
        <v>215</v>
      </c>
      <c r="E19">
        <f t="shared" si="1"/>
        <v>43</v>
      </c>
      <c r="F19" s="106">
        <v>51</v>
      </c>
    </row>
    <row r="20" ht="14.25">
      <c r="A20" s="103">
        <v>46002</v>
      </c>
      <c r="B20" s="104">
        <v>0.42999999999999999</v>
      </c>
      <c r="C20" s="104">
        <v>0.5</v>
      </c>
      <c r="D20" s="107" t="s">
        <v>216</v>
      </c>
      <c r="E20">
        <f t="shared" si="1"/>
        <v>43</v>
      </c>
      <c r="F20" s="106">
        <v>50</v>
      </c>
    </row>
    <row r="21" ht="14.25">
      <c r="A21" s="103">
        <v>46009</v>
      </c>
      <c r="B21" s="104">
        <v>0.39000000000000001</v>
      </c>
      <c r="C21" s="104">
        <v>0.46999999999999997</v>
      </c>
      <c r="D21" s="107" t="s">
        <v>217</v>
      </c>
      <c r="E21">
        <f t="shared" si="1"/>
        <v>39</v>
      </c>
      <c r="F21" s="106">
        <v>47</v>
      </c>
    </row>
    <row r="22" ht="14.25">
      <c r="A22" s="103">
        <v>46016</v>
      </c>
      <c r="B22" s="104">
        <v>0.40000000000000002</v>
      </c>
      <c r="C22" s="104">
        <v>0.47999999999999998</v>
      </c>
      <c r="D22" s="105" t="s">
        <v>218</v>
      </c>
      <c r="E22">
        <f t="shared" si="1"/>
        <v>40</v>
      </c>
      <c r="F22" s="106">
        <v>48</v>
      </c>
    </row>
    <row r="23" ht="14.25">
      <c r="A23" s="108">
        <v>46037</v>
      </c>
      <c r="B23" s="102">
        <v>0.37</v>
      </c>
      <c r="C23" s="102">
        <v>0.47999999999999998</v>
      </c>
      <c r="D23" s="109" t="s">
        <v>219</v>
      </c>
      <c r="E23">
        <f t="shared" si="1"/>
        <v>37</v>
      </c>
      <c r="F23" s="106">
        <v>48</v>
      </c>
    </row>
    <row r="24" ht="14.25">
      <c r="A24" s="108">
        <v>46044</v>
      </c>
      <c r="B24" s="102">
        <v>0.41999999999999998</v>
      </c>
      <c r="C24" s="102">
        <v>0.54000000000000004</v>
      </c>
      <c r="D24" s="109" t="s">
        <v>220</v>
      </c>
      <c r="E24">
        <f t="shared" si="1"/>
        <v>42</v>
      </c>
      <c r="F24" s="106">
        <v>54</v>
      </c>
    </row>
    <row r="25" ht="14.25">
      <c r="A25" s="108">
        <v>46051</v>
      </c>
      <c r="B25" s="102">
        <v>0.44</v>
      </c>
      <c r="C25" s="102">
        <v>0.56000000000000005</v>
      </c>
      <c r="D25" s="109" t="s">
        <v>221</v>
      </c>
      <c r="E25">
        <f t="shared" si="1"/>
        <v>44</v>
      </c>
      <c r="F25" s="106">
        <v>56.000000000000007</v>
      </c>
    </row>
    <row r="26" ht="14.25">
      <c r="A26" s="108">
        <v>46058</v>
      </c>
      <c r="B26" s="102">
        <v>0.47999999999999998</v>
      </c>
      <c r="C26" s="102">
        <v>0.51000000000000001</v>
      </c>
      <c r="D26" s="109" t="s">
        <v>222</v>
      </c>
      <c r="E26">
        <f t="shared" si="1"/>
        <v>48</v>
      </c>
      <c r="F26" s="106">
        <v>51</v>
      </c>
    </row>
    <row r="27" ht="14.25">
      <c r="A27" s="108">
        <v>46065</v>
      </c>
      <c r="B27" s="102">
        <v>0.5</v>
      </c>
      <c r="C27" s="102">
        <v>0.52000000000000002</v>
      </c>
      <c r="D27" s="109" t="s">
        <v>223</v>
      </c>
      <c r="E27">
        <f t="shared" si="1"/>
        <v>50</v>
      </c>
      <c r="F27" s="106">
        <v>52</v>
      </c>
    </row>
    <row r="28" ht="14.25">
      <c r="A28" s="108">
        <v>46072</v>
      </c>
      <c r="B28" s="102">
        <v>0.47999999999999998</v>
      </c>
      <c r="C28" s="102">
        <v>0.52000000000000002</v>
      </c>
      <c r="D28" s="109" t="s">
        <v>224</v>
      </c>
      <c r="E28">
        <f t="shared" si="1"/>
        <v>48</v>
      </c>
      <c r="F28" s="106">
        <v>52</v>
      </c>
    </row>
    <row r="29" ht="14.25">
      <c r="A29" s="108">
        <v>46079</v>
      </c>
      <c r="B29" s="102">
        <v>0.47999999999999998</v>
      </c>
      <c r="C29" s="102">
        <v>0.51000000000000001</v>
      </c>
      <c r="D29" s="109" t="s">
        <v>225</v>
      </c>
      <c r="E29">
        <f t="shared" si="1"/>
        <v>48</v>
      </c>
      <c r="F29" s="106">
        <v>51</v>
      </c>
    </row>
    <row r="30" ht="14.25">
      <c r="A30" s="108">
        <v>46093</v>
      </c>
      <c r="B30" s="102">
        <v>0.48999999999999999</v>
      </c>
      <c r="C30" s="102">
        <v>0.47999999999999998</v>
      </c>
      <c r="D30" s="109" t="s">
        <v>226</v>
      </c>
      <c r="E30">
        <f t="shared" si="1"/>
        <v>49</v>
      </c>
      <c r="F30" s="106">
        <v>48</v>
      </c>
    </row>
    <row r="31" ht="14.25">
      <c r="A31" s="108">
        <v>46100</v>
      </c>
      <c r="B31" s="102">
        <v>0.46999999999999997</v>
      </c>
      <c r="C31" s="102">
        <v>0.48999999999999999</v>
      </c>
      <c r="D31" s="109" t="s">
        <v>227</v>
      </c>
      <c r="E31">
        <f t="shared" si="1"/>
        <v>47</v>
      </c>
      <c r="F31" s="106">
        <v>49</v>
      </c>
    </row>
    <row r="32" ht="14.25">
      <c r="A32" s="108">
        <v>46107</v>
      </c>
      <c r="B32" s="102">
        <v>0.46999999999999997</v>
      </c>
      <c r="C32" s="102">
        <v>0.48999999999999999</v>
      </c>
      <c r="D32" s="109" t="s">
        <v>228</v>
      </c>
      <c r="E32">
        <f t="shared" si="1"/>
        <v>47</v>
      </c>
      <c r="F32" s="106">
        <v>49</v>
      </c>
    </row>
    <row r="33" ht="14.25">
      <c r="A33" s="108">
        <v>46114</v>
      </c>
      <c r="B33" s="102">
        <v>0.47999999999999998</v>
      </c>
      <c r="C33" s="102">
        <v>0.5</v>
      </c>
      <c r="D33" s="109" t="s">
        <v>229</v>
      </c>
      <c r="E33">
        <f t="shared" si="1"/>
        <v>48</v>
      </c>
      <c r="F33" s="106">
        <v>50</v>
      </c>
    </row>
    <row r="34" ht="14.25">
      <c r="A34" s="6"/>
      <c r="B34" s="100"/>
      <c r="C34" s="100"/>
    </row>
    <row r="35" ht="14.25">
      <c r="A35" s="6"/>
      <c r="B35" s="100"/>
      <c r="C35" s="100"/>
    </row>
    <row r="36" ht="14.25">
      <c r="A36" s="6"/>
      <c r="B36" s="100"/>
      <c r="C36" s="100"/>
    </row>
    <row r="37" ht="14.25">
      <c r="A37" s="6"/>
      <c r="B37" s="100"/>
      <c r="C37" s="100"/>
    </row>
    <row r="38" ht="14.25">
      <c r="A38" s="6"/>
      <c r="B38" s="100"/>
      <c r="C38" s="100"/>
    </row>
    <row r="39" ht="14.25">
      <c r="A39" s="6"/>
      <c r="B39" s="100"/>
      <c r="C39" s="100"/>
    </row>
    <row r="40" ht="14.25">
      <c r="A40" s="6"/>
      <c r="B40" s="100"/>
      <c r="C40" s="100"/>
    </row>
    <row r="41" ht="14.25">
      <c r="A41" s="6"/>
      <c r="B41" s="100"/>
      <c r="C41" s="100"/>
    </row>
    <row r="42" ht="14.25">
      <c r="A42" s="6"/>
      <c r="B42" s="100"/>
      <c r="C42" s="100"/>
    </row>
    <row r="43" ht="14.25">
      <c r="A43" s="6"/>
      <c r="B43" s="100"/>
      <c r="C43" s="100"/>
    </row>
    <row r="44" ht="14.25">
      <c r="A44" s="6"/>
      <c r="B44" s="100"/>
      <c r="C44" s="100"/>
    </row>
    <row r="45" ht="14.25">
      <c r="A45" s="6"/>
      <c r="B45" s="100"/>
      <c r="C45" s="10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kondrateva-av</cp:lastModifiedBy>
  <cp:revision>1</cp:revision>
  <dcterms:modified xsi:type="dcterms:W3CDTF">2026-06-08T09:28:05Z</dcterms:modified>
</cp:coreProperties>
</file>